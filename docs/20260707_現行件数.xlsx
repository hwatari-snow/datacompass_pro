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9982126\Desktop\"/>
    </mc:Choice>
  </mc:AlternateContent>
  <xr:revisionPtr revIDLastSave="0" documentId="11_22492171CBAE1EBB4CE9DB073367D516B994B48C" xr6:coauthVersionLast="47" xr6:coauthVersionMax="47" xr10:uidLastSave="{00000000-0000-0000-0000-000000000000}"/>
  <bookViews>
    <workbookView xWindow="0" yWindow="0" windowWidth="25560" windowHeight="14640" firstSheet="8" activeTab="8" xr2:uid="{00000000-000D-0000-FFFF-FFFF00000000}"/>
  </bookViews>
  <sheets>
    <sheet name="ダッシュボードとテーブルの関係" sheetId="7" r:id="rId1"/>
    <sheet name="商品マスタ件数_和洋日配" sheetId="8" r:id="rId2"/>
    <sheet name="商品マスタ件数_全体GP別" sheetId="9" r:id="rId3"/>
    <sheet name="journal件数_和洋日配" sheetId="10" r:id="rId4"/>
    <sheet name="journal件数_全体GP別" sheetId="11" r:id="rId5"/>
    <sheet name="日別売上DM件数_和洋日配" sheetId="12" r:id="rId6"/>
    <sheet name="日別売上DM件数_全体GP別" sheetId="13" r:id="rId7"/>
    <sheet name="顧客属性別売上DM件数_和洋日配" sheetId="14" r:id="rId8"/>
    <sheet name="顧客属性別売上DM件数_全体GP別" sheetId="1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5" l="1"/>
  <c r="G1" i="15"/>
  <c r="F1" i="15"/>
  <c r="E1" i="15"/>
  <c r="D1" i="15"/>
  <c r="C1" i="15"/>
  <c r="K1" i="14"/>
  <c r="J1" i="14"/>
  <c r="I1" i="14"/>
  <c r="H1" i="14"/>
  <c r="G1" i="14"/>
  <c r="F1" i="14"/>
  <c r="H1" i="13"/>
  <c r="G1" i="13"/>
  <c r="F1" i="13"/>
  <c r="E1" i="13"/>
  <c r="D1" i="13"/>
  <c r="C1" i="13"/>
  <c r="K1" i="12"/>
  <c r="J1" i="12"/>
  <c r="I1" i="12"/>
  <c r="H1" i="12"/>
  <c r="G1" i="12"/>
  <c r="F1" i="12"/>
  <c r="H1" i="11"/>
  <c r="G1" i="11"/>
  <c r="F1" i="11"/>
  <c r="E1" i="11"/>
  <c r="D1" i="11"/>
  <c r="C1" i="11"/>
  <c r="K1" i="10"/>
  <c r="J1" i="10"/>
  <c r="I1" i="10"/>
  <c r="H1" i="10"/>
  <c r="G1" i="10"/>
  <c r="F1" i="10"/>
  <c r="F1" i="8"/>
  <c r="C1" i="9"/>
</calcChain>
</file>

<file path=xl/sharedStrings.xml><?xml version="1.0" encoding="utf-8"?>
<sst xmlns="http://schemas.openxmlformats.org/spreadsheetml/2006/main" count="1984" uniqueCount="236">
  <si>
    <t>ダッシュボード</t>
    <phoneticPr fontId="1"/>
  </si>
  <si>
    <t>主要なテーブル</t>
    <rPh sb="0" eb="2">
      <t>シュヨウ</t>
    </rPh>
    <phoneticPr fontId="1"/>
  </si>
  <si>
    <t>新仕様　POS-ABC分析</t>
    <rPh sb="0" eb="1">
      <t>シン</t>
    </rPh>
    <rPh sb="1" eb="3">
      <t>シヨウ</t>
    </rPh>
    <rPh sb="11" eb="13">
      <t>ブンセキ</t>
    </rPh>
    <phoneticPr fontId="1"/>
  </si>
  <si>
    <t>日別売上データマート(営業日・店舗・商品で集約&amp;昨対比を持つ)</t>
    <rPh sb="0" eb="2">
      <t>ヒベツ</t>
    </rPh>
    <rPh sb="2" eb="4">
      <t>ウリアゲ</t>
    </rPh>
    <rPh sb="11" eb="14">
      <t>エイギョウビ</t>
    </rPh>
    <rPh sb="15" eb="17">
      <t>テンポ</t>
    </rPh>
    <rPh sb="18" eb="20">
      <t>ショウヒン</t>
    </rPh>
    <rPh sb="21" eb="23">
      <t>シュウヤク</t>
    </rPh>
    <rPh sb="24" eb="27">
      <t>サクタイヒ</t>
    </rPh>
    <rPh sb="28" eb="29">
      <t>モ</t>
    </rPh>
    <phoneticPr fontId="1"/>
  </si>
  <si>
    <t>新仕様　ID-POS顧客属性分析</t>
    <rPh sb="0" eb="1">
      <t>シン</t>
    </rPh>
    <rPh sb="1" eb="3">
      <t>シヨウ</t>
    </rPh>
    <rPh sb="10" eb="16">
      <t>コキャクゾクセイブンセキ</t>
    </rPh>
    <phoneticPr fontId="1"/>
  </si>
  <si>
    <t>顧客属性別売上データマート(営業日・店舗・商品・年代(5歳刻み)・性別・居住都道府県で集約、昨対比は持たない)</t>
    <rPh sb="0" eb="4">
      <t>コキャクゾクセイ</t>
    </rPh>
    <rPh sb="4" eb="5">
      <t>ベツ</t>
    </rPh>
    <rPh sb="5" eb="7">
      <t>ウリアゲ</t>
    </rPh>
    <rPh sb="50" eb="51">
      <t>モ</t>
    </rPh>
    <phoneticPr fontId="1"/>
  </si>
  <si>
    <t>旧仕様　トレンド分析</t>
    <rPh sb="0" eb="1">
      <t>キュウ</t>
    </rPh>
    <rPh sb="1" eb="3">
      <t>シヨウ</t>
    </rPh>
    <rPh sb="8" eb="10">
      <t>ブンセキ</t>
    </rPh>
    <phoneticPr fontId="1"/>
  </si>
  <si>
    <t>ほぼjournal</t>
    <phoneticPr fontId="1"/>
  </si>
  <si>
    <t>旧仕様　POS-ABC分析</t>
    <rPh sb="0" eb="1">
      <t>キュウ</t>
    </rPh>
    <rPh sb="1" eb="3">
      <t>シヨウ</t>
    </rPh>
    <rPh sb="11" eb="13">
      <t>ブンセキ</t>
    </rPh>
    <phoneticPr fontId="1"/>
  </si>
  <si>
    <t>旧仕様　顧客属性分析</t>
    <rPh sb="0" eb="1">
      <t>キュウ</t>
    </rPh>
    <rPh sb="1" eb="3">
      <t>シヨウ</t>
    </rPh>
    <rPh sb="4" eb="10">
      <t>コキャクゾクセイブンセキ</t>
    </rPh>
    <phoneticPr fontId="1"/>
  </si>
  <si>
    <t>会員取引のみに限定したjournal ※jounalの54%と考えていただければ。</t>
    <rPh sb="0" eb="2">
      <t>カイイン</t>
    </rPh>
    <rPh sb="2" eb="4">
      <t>トリヒキ</t>
    </rPh>
    <rPh sb="7" eb="9">
      <t>ゲンテイ</t>
    </rPh>
    <rPh sb="31" eb="32">
      <t>カンガ</t>
    </rPh>
    <phoneticPr fontId="1"/>
  </si>
  <si>
    <t>※日別売上データマートは、昨年実績売上金額・数量を表示したい都合上</t>
    <rPh sb="13" eb="17">
      <t>サクネンジッセキ</t>
    </rPh>
    <rPh sb="17" eb="21">
      <t>ウリアゲキンガク</t>
    </rPh>
    <rPh sb="22" eb="24">
      <t>スウリョウ</t>
    </rPh>
    <rPh sb="25" eb="27">
      <t>ヒョウジ</t>
    </rPh>
    <rPh sb="30" eb="33">
      <t>ツゴウジョウ</t>
    </rPh>
    <phoneticPr fontId="1"/>
  </si>
  <si>
    <t>当年度の実績がないレコードも保持しています。そのためデータ量が多くなっています。</t>
    <rPh sb="0" eb="2">
      <t>トウネン</t>
    </rPh>
    <rPh sb="2" eb="3">
      <t>ド</t>
    </rPh>
    <rPh sb="4" eb="6">
      <t>ジッセキ</t>
    </rPh>
    <rPh sb="14" eb="16">
      <t>ホジ</t>
    </rPh>
    <rPh sb="29" eb="30">
      <t>リョウ</t>
    </rPh>
    <rPh sb="31" eb="32">
      <t>オオ</t>
    </rPh>
    <phoneticPr fontId="1"/>
  </si>
  <si>
    <t>total</t>
    <phoneticPr fontId="1"/>
  </si>
  <si>
    <t>md_name</t>
  </si>
  <si>
    <t>major_name</t>
  </si>
  <si>
    <t>middle_name</t>
  </si>
  <si>
    <t>minor_name</t>
  </si>
  <si>
    <t>sub_name</t>
  </si>
  <si>
    <t>sku_num</t>
  </si>
  <si>
    <t>6MD フード&amp;リカー</t>
  </si>
  <si>
    <t>02,デイリー</t>
  </si>
  <si>
    <t>0201,洋日配</t>
  </si>
  <si>
    <t>020100,洋日配</t>
  </si>
  <si>
    <t>02010000,洋日配</t>
  </si>
  <si>
    <t>020101,バター</t>
  </si>
  <si>
    <t>02010100,バター</t>
  </si>
  <si>
    <t>020102,マーガリン</t>
  </si>
  <si>
    <t>02010200,マーガリン</t>
  </si>
  <si>
    <t>020103,チーズ</t>
  </si>
  <si>
    <t>02010300,チーズ</t>
  </si>
  <si>
    <t>020104,ナチュラルチーズ</t>
  </si>
  <si>
    <t>02010400,ナチュラルチーズ</t>
  </si>
  <si>
    <t>020105,牛乳（成分無調整乳）</t>
  </si>
  <si>
    <t>02010500,牛乳（成分無調整乳）</t>
  </si>
  <si>
    <t>020106,牛乳（加工乳）</t>
  </si>
  <si>
    <t>02010600,牛乳（加工乳）</t>
  </si>
  <si>
    <t>020107,豆乳</t>
  </si>
  <si>
    <t>02010700,豆乳</t>
  </si>
  <si>
    <t>020108,生クリーム（コーヒーポーション）</t>
  </si>
  <si>
    <t>02010800,生クリーム（コーヒーポーション）</t>
  </si>
  <si>
    <t>020109,健康飲料（飲料酢・甘酒・プロテイン）</t>
  </si>
  <si>
    <t>02010900,健康飲料（飲料酢・甘酒・プロテイン）</t>
  </si>
  <si>
    <t>020110,ヨーグルト飲料</t>
  </si>
  <si>
    <t>02011000,ヨーグルト飲料</t>
  </si>
  <si>
    <t>020111,乳酸菌飲料</t>
  </si>
  <si>
    <t>02011100,乳酸菌飲料</t>
  </si>
  <si>
    <t>020112,コーヒー系飲料（ココア）</t>
  </si>
  <si>
    <t>02011200,コーヒー系飲料（ココア）</t>
  </si>
  <si>
    <t>020113,紅茶系飲料（茶系飲料）</t>
  </si>
  <si>
    <t>02011300,紅茶系飲料（茶系飲料）</t>
  </si>
  <si>
    <t>020114,果汁チルド飲料</t>
  </si>
  <si>
    <t>02011400,果汁チルド飲料</t>
  </si>
  <si>
    <t>020115,野菜チルド飲料</t>
  </si>
  <si>
    <t>02011500,野菜チルド飲料</t>
  </si>
  <si>
    <t>020116,スープ</t>
  </si>
  <si>
    <t>02011600,スープ</t>
  </si>
  <si>
    <t>020117,ヨーグルト</t>
  </si>
  <si>
    <t>02011700,ヨーグルト</t>
  </si>
  <si>
    <t>020118,プリン</t>
  </si>
  <si>
    <t>02011800,プリン</t>
  </si>
  <si>
    <t>020119,チルドゼリー</t>
  </si>
  <si>
    <t>02011900,チルドゼリー</t>
  </si>
  <si>
    <t>020120,生デザート</t>
  </si>
  <si>
    <t>02012000,生デザート</t>
  </si>
  <si>
    <t>020121,ピザ（チルド即食）</t>
  </si>
  <si>
    <t>02012100,ピザ（チルド即食）</t>
  </si>
  <si>
    <t>020122,レトルト（洋日配）</t>
  </si>
  <si>
    <t>02012200,レトルト（洋日配）</t>
  </si>
  <si>
    <t>020123,未使用</t>
  </si>
  <si>
    <t>02012300,未使用</t>
  </si>
  <si>
    <t>020194,催事</t>
  </si>
  <si>
    <t>02019400,催事</t>
  </si>
  <si>
    <t>020196,洋日配地域スポット</t>
  </si>
  <si>
    <t>02019600,洋日配地域スポット</t>
  </si>
  <si>
    <t>0202,和日配</t>
  </si>
  <si>
    <t>020200,和日配</t>
  </si>
  <si>
    <t>02020000,和日配</t>
  </si>
  <si>
    <t>020201,チルド中華</t>
  </si>
  <si>
    <t>02020100,チルド中華</t>
  </si>
  <si>
    <t>020202,餃子・焼売</t>
  </si>
  <si>
    <t>02020200,餃子・焼売</t>
  </si>
  <si>
    <t>020203,佃煮</t>
  </si>
  <si>
    <t>02020300,佃煮</t>
  </si>
  <si>
    <t>020204,煮豆</t>
  </si>
  <si>
    <t>02020400,煮豆</t>
  </si>
  <si>
    <t>020205,おせち用佃煮(栗きんとん・田作り・串物・</t>
  </si>
  <si>
    <t>02020500,おせち用佃煮(栗きんとん・田作り・串物・</t>
  </si>
  <si>
    <t>020206,惣菜調理品</t>
  </si>
  <si>
    <t>02020600,惣菜調理品</t>
  </si>
  <si>
    <t>020207,古漬</t>
  </si>
  <si>
    <t>02020700,古漬</t>
  </si>
  <si>
    <t>020208,浅漬</t>
  </si>
  <si>
    <t>02020800,浅漬</t>
  </si>
  <si>
    <t>020209,キムチ</t>
  </si>
  <si>
    <t>02020900,キムチ</t>
  </si>
  <si>
    <t>020210,酢漬</t>
  </si>
  <si>
    <t>02021000,酢漬</t>
  </si>
  <si>
    <t>020211,たくあん</t>
  </si>
  <si>
    <t>02021100,たくあん</t>
  </si>
  <si>
    <t>020212,梅干</t>
  </si>
  <si>
    <t>02021200,梅干</t>
  </si>
  <si>
    <t>020213,おせち用漬物（松前漬・わさび漬）</t>
  </si>
  <si>
    <t>02021300,おせち用漬物（松前漬・わさび漬）</t>
  </si>
  <si>
    <t>020214,うどん</t>
  </si>
  <si>
    <t>02021400,うどん</t>
  </si>
  <si>
    <t>020215,そば</t>
  </si>
  <si>
    <t>02021500,そば</t>
  </si>
  <si>
    <t>020216,ラーメン</t>
  </si>
  <si>
    <t>02021600,ラーメン</t>
  </si>
  <si>
    <t>020217,つけ麺・冷し中華</t>
  </si>
  <si>
    <t>02021700,つけ麺・冷し中華</t>
  </si>
  <si>
    <t>020218,焼そば・パスタ</t>
  </si>
  <si>
    <t>02021800,焼そば・パスタ</t>
  </si>
  <si>
    <t>020219,調理麺</t>
  </si>
  <si>
    <t>02021900,調理麺</t>
  </si>
  <si>
    <t>020220,麺具材</t>
  </si>
  <si>
    <t>02022000,麺具材</t>
  </si>
  <si>
    <t>020221,納豆（国産大豆）</t>
  </si>
  <si>
    <t>02022100,納豆（国産大豆）</t>
  </si>
  <si>
    <t>020222,納豆（外国産大豆）</t>
  </si>
  <si>
    <t>02022200,納豆（外国産大豆）</t>
  </si>
  <si>
    <t>020223,充填豆腐</t>
  </si>
  <si>
    <t>02022300,充填豆腐</t>
  </si>
  <si>
    <t>020224,カット豆腐</t>
  </si>
  <si>
    <t>02022400,カット豆腐</t>
  </si>
  <si>
    <t>020225,その他豆腐</t>
  </si>
  <si>
    <t>02022500,その他豆腐</t>
  </si>
  <si>
    <t>020226,油揚</t>
  </si>
  <si>
    <t>02022600,油揚</t>
  </si>
  <si>
    <t>020227,こんにゃく・しらたき</t>
  </si>
  <si>
    <t>02022700,こんにゃく・しらたき</t>
  </si>
  <si>
    <t>020228,ところ天・海藻</t>
  </si>
  <si>
    <t>02022800,ところ天・海藻</t>
  </si>
  <si>
    <t>020229,さつま揚げ・はんぺん・おでん</t>
  </si>
  <si>
    <t>02022900,さつま揚げ・はんぺん・おでん</t>
  </si>
  <si>
    <t>020230,ちくわ</t>
  </si>
  <si>
    <t>02023000,ちくわ</t>
  </si>
  <si>
    <t>020231,蒲鉾・カニカマ</t>
  </si>
  <si>
    <t>02023100,蒲鉾・カニカマ</t>
  </si>
  <si>
    <t>020232,調理済品（おでん）</t>
  </si>
  <si>
    <t>02023200,調理済品（おでん）</t>
  </si>
  <si>
    <t>020233,塩辛・珍味</t>
  </si>
  <si>
    <t>02023300,塩辛・珍味</t>
  </si>
  <si>
    <t>020234,酒粕・こうじ</t>
  </si>
  <si>
    <t>02023400,酒粕・こうじ</t>
  </si>
  <si>
    <t>020235,おせち用練物（蒲鉾・伊達巻・なると巻）</t>
  </si>
  <si>
    <t>02023500,おせち用練物（蒲鉾・伊達巻・なると巻）</t>
  </si>
  <si>
    <t>020236,普通卵</t>
  </si>
  <si>
    <t>02023600,普通卵</t>
  </si>
  <si>
    <t>020237,特殊卵</t>
  </si>
  <si>
    <t>02023700,特殊卵</t>
  </si>
  <si>
    <t>020238,もやし</t>
  </si>
  <si>
    <t>02023800,もやし</t>
  </si>
  <si>
    <t>020239,予約おせち</t>
  </si>
  <si>
    <t>02023900,予約おせち</t>
  </si>
  <si>
    <t>020294,催事</t>
  </si>
  <si>
    <t>02029400,催事</t>
  </si>
  <si>
    <t>020295,駅弁</t>
  </si>
  <si>
    <t>02029500,駅弁</t>
  </si>
  <si>
    <t>020296,和日配地域スポット</t>
  </si>
  <si>
    <t>02029600,和日配地域スポット</t>
  </si>
  <si>
    <t>020298,和日配評価損 B</t>
  </si>
  <si>
    <t>02029800,和日配評価損 B</t>
  </si>
  <si>
    <t>1MD デジタル&amp;バラエティ</t>
  </si>
  <si>
    <t>21,カーライフ</t>
  </si>
  <si>
    <t>22,トイ＆バラエティ</t>
  </si>
  <si>
    <t>35,ホームエレクトロニクス</t>
  </si>
  <si>
    <t>36,スマホパーツ</t>
  </si>
  <si>
    <t>50,ラブグッズ</t>
  </si>
  <si>
    <t>51,パーティーグッズ</t>
  </si>
  <si>
    <t>56,理美容家電</t>
  </si>
  <si>
    <t>2MD ホーム&amp;レジャー</t>
  </si>
  <si>
    <t>08,ギフト</t>
  </si>
  <si>
    <t>11,ホームインテリア</t>
  </si>
  <si>
    <t>12,ホームグッズ</t>
  </si>
  <si>
    <t>16,カーペンター＆ツール</t>
  </si>
  <si>
    <t>19,サイクル</t>
  </si>
  <si>
    <t>20,ステーショナリー</t>
  </si>
  <si>
    <t>23,寝具</t>
  </si>
  <si>
    <t>53,プロテイン・トレーニング</t>
  </si>
  <si>
    <t>55,アウトドア</t>
  </si>
  <si>
    <t>57,フューチャープロダクト</t>
  </si>
  <si>
    <t>3MD ライフ＆ペット</t>
  </si>
  <si>
    <t>13,デイリーグッズ</t>
  </si>
  <si>
    <t>14,ヘルスケア</t>
  </si>
  <si>
    <t>24,ペット＆ガーデン</t>
  </si>
  <si>
    <t>4MD ファッション&amp;ブランド</t>
  </si>
  <si>
    <t>25,UNY用_レディース</t>
  </si>
  <si>
    <t>26,UNY用_メンズ</t>
  </si>
  <si>
    <t>27,UNY用_子供ベビー</t>
  </si>
  <si>
    <t>28,UNY用_インナー</t>
  </si>
  <si>
    <t>29,UNY用_服飾</t>
  </si>
  <si>
    <t>30,メンズインナー</t>
  </si>
  <si>
    <t>31,ファッション＆カバン</t>
  </si>
  <si>
    <t>32,ブランドファッション</t>
  </si>
  <si>
    <t>33,インポート</t>
  </si>
  <si>
    <t>34,シューズ</t>
  </si>
  <si>
    <t>39,UNY用_靴</t>
  </si>
  <si>
    <t>42,レディス・キッズインナー</t>
  </si>
  <si>
    <t>5MD トレンド&amp;コスメ</t>
  </si>
  <si>
    <t>10,アロマ</t>
  </si>
  <si>
    <t>15,コスメ</t>
  </si>
  <si>
    <t>38,レディスファッション雑貨</t>
  </si>
  <si>
    <t>41,スキンケア</t>
  </si>
  <si>
    <t>58,CBD</t>
  </si>
  <si>
    <t>01,フード＆ドリンク</t>
  </si>
  <si>
    <t>03,リカー＆ワイン</t>
  </si>
  <si>
    <t>09,菓子・珍味</t>
  </si>
  <si>
    <t>7MD フレッシュフード</t>
  </si>
  <si>
    <t>04,デリカ</t>
  </si>
  <si>
    <t>05,フレッシュミート</t>
  </si>
  <si>
    <t>06,ベジタブル・フルーツ</t>
  </si>
  <si>
    <t>07,フレッシュフィッシュ</t>
  </si>
  <si>
    <t>その他</t>
  </si>
  <si>
    <t>18,カーサービス</t>
  </si>
  <si>
    <t>40,オフプライス</t>
  </si>
  <si>
    <t>43,特別在庫</t>
  </si>
  <si>
    <t>44,回避</t>
  </si>
  <si>
    <t>45,特売企画</t>
  </si>
  <si>
    <t>48,サービス</t>
  </si>
  <si>
    <t>52,アウトレット</t>
  </si>
  <si>
    <t>79,未使用（その他）</t>
  </si>
  <si>
    <t>81,産直委託</t>
  </si>
  <si>
    <t>82,備品</t>
  </si>
  <si>
    <t>84,百均</t>
  </si>
  <si>
    <t>コンセ</t>
  </si>
  <si>
    <t>85,惣菜コンセ</t>
  </si>
  <si>
    <t>86,精肉コンセ</t>
  </si>
  <si>
    <t>88,鮮魚コンセ</t>
  </si>
  <si>
    <t>1か月(2026-04-01～30)</t>
    <rPh sb="2" eb="3">
      <t>ゲツ</t>
    </rPh>
    <phoneticPr fontId="1"/>
  </si>
  <si>
    <t>1年(2025-07-01～2026-06-30)</t>
    <rPh sb="1" eb="2">
      <t>ネン</t>
    </rPh>
    <phoneticPr fontId="1"/>
  </si>
  <si>
    <t>データ保持全期間(2023-05-01～2026-07-05)</t>
    <rPh sb="3" eb="5">
      <t>ホジ</t>
    </rPh>
    <rPh sb="5" eb="8">
      <t>ゼンキカン</t>
    </rPh>
    <phoneticPr fontId="1"/>
  </si>
  <si>
    <t>商品数</t>
    <rPh sb="0" eb="3">
      <t>ショウヒンスウ</t>
    </rPh>
    <phoneticPr fontId="1"/>
  </si>
  <si>
    <t>レコード数</t>
    <rPh sb="4" eb="5">
      <t>スウ</t>
    </rPh>
    <phoneticPr fontId="1"/>
  </si>
  <si>
    <t>マスタ外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</si>
</sst>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176" fontId="0" fillId="2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2"/>
  <sheetViews>
    <sheetView workbookViewId="0">
      <selection activeCell="C9" sqref="C9"/>
    </sheetView>
  </sheetViews>
  <sheetFormatPr defaultRowHeight="18.75"/>
  <cols>
    <col min="2" max="2" width="28.625" bestFit="1" customWidth="1"/>
    <col min="3" max="3" width="108.875" bestFit="1" customWidth="1"/>
  </cols>
  <sheetData>
    <row r="3" spans="2:3">
      <c r="B3" s="3" t="s">
        <v>0</v>
      </c>
      <c r="C3" s="4" t="s">
        <v>1</v>
      </c>
    </row>
    <row r="4" spans="2:3">
      <c r="B4" s="5" t="s">
        <v>2</v>
      </c>
      <c r="C4" s="6" t="s">
        <v>3</v>
      </c>
    </row>
    <row r="5" spans="2:3">
      <c r="B5" s="5" t="s">
        <v>4</v>
      </c>
      <c r="C5" s="6" t="s">
        <v>5</v>
      </c>
    </row>
    <row r="6" spans="2:3">
      <c r="B6" s="5" t="s">
        <v>6</v>
      </c>
      <c r="C6" s="6" t="s">
        <v>7</v>
      </c>
    </row>
    <row r="7" spans="2:3">
      <c r="B7" s="5" t="s">
        <v>8</v>
      </c>
      <c r="C7" s="6" t="s">
        <v>7</v>
      </c>
    </row>
    <row r="8" spans="2:3">
      <c r="B8" s="7" t="s">
        <v>9</v>
      </c>
      <c r="C8" s="8" t="s">
        <v>10</v>
      </c>
    </row>
    <row r="11" spans="2:3">
      <c r="B11" t="s">
        <v>11</v>
      </c>
    </row>
    <row r="12" spans="2:3">
      <c r="B12" t="s">
        <v>12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B1" workbookViewId="0">
      <pane ySplit="3" topLeftCell="A4" activePane="bottomLeft" state="frozen"/>
      <selection pane="bottomLeft" activeCell="G52" sqref="G52"/>
    </sheetView>
  </sheetViews>
  <sheetFormatPr defaultRowHeight="18.75"/>
  <cols>
    <col min="1" max="1" width="19.75" bestFit="1" customWidth="1"/>
    <col min="2" max="2" width="12.25" bestFit="1" customWidth="1"/>
    <col min="3" max="3" width="13.5" bestFit="1" customWidth="1"/>
    <col min="4" max="4" width="48.125" bestFit="1" customWidth="1"/>
    <col min="5" max="5" width="50.375" bestFit="1" customWidth="1"/>
    <col min="6" max="6" width="9.5" style="2" bestFit="1" customWidth="1"/>
  </cols>
  <sheetData>
    <row r="1" spans="1:6">
      <c r="E1" s="1" t="s">
        <v>13</v>
      </c>
      <c r="F1" s="2">
        <f>SUM(F4:F73)</f>
        <v>60688</v>
      </c>
    </row>
    <row r="2" spans="1:6">
      <c r="E2" s="1"/>
    </row>
    <row r="3" spans="1:6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</row>
    <row r="4" spans="1:6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2">
        <v>596</v>
      </c>
    </row>
    <row r="5" spans="1:6">
      <c r="A5" t="s">
        <v>20</v>
      </c>
      <c r="B5" t="s">
        <v>21</v>
      </c>
      <c r="C5" t="s">
        <v>22</v>
      </c>
      <c r="D5" t="s">
        <v>25</v>
      </c>
      <c r="E5" t="s">
        <v>26</v>
      </c>
      <c r="F5" s="2">
        <v>371</v>
      </c>
    </row>
    <row r="6" spans="1:6">
      <c r="A6" t="s">
        <v>20</v>
      </c>
      <c r="B6" t="s">
        <v>21</v>
      </c>
      <c r="C6" t="s">
        <v>22</v>
      </c>
      <c r="D6" t="s">
        <v>27</v>
      </c>
      <c r="E6" t="s">
        <v>28</v>
      </c>
      <c r="F6" s="2">
        <v>263</v>
      </c>
    </row>
    <row r="7" spans="1:6">
      <c r="A7" t="s">
        <v>20</v>
      </c>
      <c r="B7" t="s">
        <v>21</v>
      </c>
      <c r="C7" t="s">
        <v>22</v>
      </c>
      <c r="D7" t="s">
        <v>29</v>
      </c>
      <c r="E7" t="s">
        <v>30</v>
      </c>
      <c r="F7" s="2">
        <v>1278</v>
      </c>
    </row>
    <row r="8" spans="1:6">
      <c r="A8" t="s">
        <v>20</v>
      </c>
      <c r="B8" t="s">
        <v>21</v>
      </c>
      <c r="C8" t="s">
        <v>22</v>
      </c>
      <c r="D8" t="s">
        <v>31</v>
      </c>
      <c r="E8" t="s">
        <v>32</v>
      </c>
      <c r="F8" s="2">
        <v>915</v>
      </c>
    </row>
    <row r="9" spans="1:6">
      <c r="A9" t="s">
        <v>20</v>
      </c>
      <c r="B9" t="s">
        <v>21</v>
      </c>
      <c r="C9" t="s">
        <v>22</v>
      </c>
      <c r="D9" t="s">
        <v>33</v>
      </c>
      <c r="E9" t="s">
        <v>34</v>
      </c>
      <c r="F9" s="2">
        <v>470</v>
      </c>
    </row>
    <row r="10" spans="1:6">
      <c r="A10" t="s">
        <v>20</v>
      </c>
      <c r="B10" t="s">
        <v>21</v>
      </c>
      <c r="C10" t="s">
        <v>22</v>
      </c>
      <c r="D10" t="s">
        <v>35</v>
      </c>
      <c r="E10" t="s">
        <v>36</v>
      </c>
      <c r="F10" s="2">
        <v>447</v>
      </c>
    </row>
    <row r="11" spans="1:6">
      <c r="A11" t="s">
        <v>20</v>
      </c>
      <c r="B11" t="s">
        <v>21</v>
      </c>
      <c r="C11" t="s">
        <v>22</v>
      </c>
      <c r="D11" t="s">
        <v>37</v>
      </c>
      <c r="E11" t="s">
        <v>38</v>
      </c>
      <c r="F11" s="2">
        <v>1087</v>
      </c>
    </row>
    <row r="12" spans="1:6">
      <c r="A12" t="s">
        <v>20</v>
      </c>
      <c r="B12" t="s">
        <v>21</v>
      </c>
      <c r="C12" t="s">
        <v>22</v>
      </c>
      <c r="D12" t="s">
        <v>39</v>
      </c>
      <c r="E12" t="s">
        <v>40</v>
      </c>
      <c r="F12" s="2">
        <v>144</v>
      </c>
    </row>
    <row r="13" spans="1:6">
      <c r="A13" t="s">
        <v>20</v>
      </c>
      <c r="B13" t="s">
        <v>21</v>
      </c>
      <c r="C13" t="s">
        <v>22</v>
      </c>
      <c r="D13" t="s">
        <v>41</v>
      </c>
      <c r="E13" t="s">
        <v>42</v>
      </c>
      <c r="F13" s="2">
        <v>688</v>
      </c>
    </row>
    <row r="14" spans="1:6">
      <c r="A14" t="s">
        <v>20</v>
      </c>
      <c r="B14" t="s">
        <v>21</v>
      </c>
      <c r="C14" t="s">
        <v>22</v>
      </c>
      <c r="D14" t="s">
        <v>43</v>
      </c>
      <c r="E14" t="s">
        <v>44</v>
      </c>
      <c r="F14" s="2">
        <v>962</v>
      </c>
    </row>
    <row r="15" spans="1:6">
      <c r="A15" t="s">
        <v>20</v>
      </c>
      <c r="B15" t="s">
        <v>21</v>
      </c>
      <c r="C15" t="s">
        <v>22</v>
      </c>
      <c r="D15" t="s">
        <v>45</v>
      </c>
      <c r="E15" t="s">
        <v>46</v>
      </c>
      <c r="F15" s="2">
        <v>1086</v>
      </c>
    </row>
    <row r="16" spans="1:6">
      <c r="A16" t="s">
        <v>20</v>
      </c>
      <c r="B16" t="s">
        <v>21</v>
      </c>
      <c r="C16" t="s">
        <v>22</v>
      </c>
      <c r="D16" t="s">
        <v>47</v>
      </c>
      <c r="E16" t="s">
        <v>48</v>
      </c>
      <c r="F16" s="2">
        <v>1476</v>
      </c>
    </row>
    <row r="17" spans="1:6">
      <c r="A17" t="s">
        <v>20</v>
      </c>
      <c r="B17" t="s">
        <v>21</v>
      </c>
      <c r="C17" t="s">
        <v>22</v>
      </c>
      <c r="D17" t="s">
        <v>49</v>
      </c>
      <c r="E17" t="s">
        <v>50</v>
      </c>
      <c r="F17" s="2">
        <v>518</v>
      </c>
    </row>
    <row r="18" spans="1:6">
      <c r="A18" t="s">
        <v>20</v>
      </c>
      <c r="B18" t="s">
        <v>21</v>
      </c>
      <c r="C18" t="s">
        <v>22</v>
      </c>
      <c r="D18" t="s">
        <v>51</v>
      </c>
      <c r="E18" t="s">
        <v>52</v>
      </c>
      <c r="F18" s="2">
        <v>1451</v>
      </c>
    </row>
    <row r="19" spans="1:6">
      <c r="A19" t="s">
        <v>20</v>
      </c>
      <c r="B19" t="s">
        <v>21</v>
      </c>
      <c r="C19" t="s">
        <v>22</v>
      </c>
      <c r="D19" t="s">
        <v>53</v>
      </c>
      <c r="E19" t="s">
        <v>54</v>
      </c>
      <c r="F19" s="2">
        <v>647</v>
      </c>
    </row>
    <row r="20" spans="1:6">
      <c r="A20" t="s">
        <v>20</v>
      </c>
      <c r="B20" t="s">
        <v>21</v>
      </c>
      <c r="C20" t="s">
        <v>22</v>
      </c>
      <c r="D20" t="s">
        <v>55</v>
      </c>
      <c r="E20" t="s">
        <v>56</v>
      </c>
      <c r="F20" s="2">
        <v>97</v>
      </c>
    </row>
    <row r="21" spans="1:6">
      <c r="A21" t="s">
        <v>20</v>
      </c>
      <c r="B21" t="s">
        <v>21</v>
      </c>
      <c r="C21" t="s">
        <v>22</v>
      </c>
      <c r="D21" t="s">
        <v>57</v>
      </c>
      <c r="E21" t="s">
        <v>58</v>
      </c>
      <c r="F21" s="2">
        <v>2949</v>
      </c>
    </row>
    <row r="22" spans="1:6">
      <c r="A22" t="s">
        <v>20</v>
      </c>
      <c r="B22" t="s">
        <v>21</v>
      </c>
      <c r="C22" t="s">
        <v>22</v>
      </c>
      <c r="D22" t="s">
        <v>59</v>
      </c>
      <c r="E22" t="s">
        <v>60</v>
      </c>
      <c r="F22" s="2">
        <v>1049</v>
      </c>
    </row>
    <row r="23" spans="1:6">
      <c r="A23" t="s">
        <v>20</v>
      </c>
      <c r="B23" t="s">
        <v>21</v>
      </c>
      <c r="C23" t="s">
        <v>22</v>
      </c>
      <c r="D23" t="s">
        <v>61</v>
      </c>
      <c r="E23" t="s">
        <v>62</v>
      </c>
      <c r="F23" s="2">
        <v>1191</v>
      </c>
    </row>
    <row r="24" spans="1:6">
      <c r="A24" t="s">
        <v>20</v>
      </c>
      <c r="B24" t="s">
        <v>21</v>
      </c>
      <c r="C24" t="s">
        <v>22</v>
      </c>
      <c r="D24" t="s">
        <v>63</v>
      </c>
      <c r="E24" t="s">
        <v>64</v>
      </c>
      <c r="F24" s="2">
        <v>6878</v>
      </c>
    </row>
    <row r="25" spans="1:6">
      <c r="A25" t="s">
        <v>20</v>
      </c>
      <c r="B25" t="s">
        <v>21</v>
      </c>
      <c r="C25" t="s">
        <v>22</v>
      </c>
      <c r="D25" t="s">
        <v>65</v>
      </c>
      <c r="E25" t="s">
        <v>66</v>
      </c>
      <c r="F25" s="2">
        <v>502</v>
      </c>
    </row>
    <row r="26" spans="1:6">
      <c r="A26" t="s">
        <v>20</v>
      </c>
      <c r="B26" t="s">
        <v>21</v>
      </c>
      <c r="C26" t="s">
        <v>22</v>
      </c>
      <c r="D26" t="s">
        <v>67</v>
      </c>
      <c r="E26" t="s">
        <v>68</v>
      </c>
      <c r="F26" s="2">
        <v>103</v>
      </c>
    </row>
    <row r="27" spans="1:6">
      <c r="A27" t="s">
        <v>20</v>
      </c>
      <c r="B27" t="s">
        <v>21</v>
      </c>
      <c r="C27" t="s">
        <v>22</v>
      </c>
      <c r="D27" t="s">
        <v>69</v>
      </c>
      <c r="E27" t="s">
        <v>70</v>
      </c>
      <c r="F27" s="2">
        <v>5</v>
      </c>
    </row>
    <row r="28" spans="1:6">
      <c r="A28" t="s">
        <v>20</v>
      </c>
      <c r="B28" t="s">
        <v>21</v>
      </c>
      <c r="C28" t="s">
        <v>22</v>
      </c>
      <c r="D28" t="s">
        <v>71</v>
      </c>
      <c r="E28" t="s">
        <v>72</v>
      </c>
      <c r="F28" s="2">
        <v>6</v>
      </c>
    </row>
    <row r="29" spans="1:6">
      <c r="A29" t="s">
        <v>20</v>
      </c>
      <c r="B29" t="s">
        <v>21</v>
      </c>
      <c r="C29" t="s">
        <v>22</v>
      </c>
      <c r="D29" t="s">
        <v>73</v>
      </c>
      <c r="E29" t="s">
        <v>74</v>
      </c>
      <c r="F29" s="2">
        <v>13</v>
      </c>
    </row>
    <row r="30" spans="1:6">
      <c r="A30" t="s">
        <v>20</v>
      </c>
      <c r="B30" t="s">
        <v>21</v>
      </c>
      <c r="C30" t="s">
        <v>75</v>
      </c>
      <c r="D30" t="s">
        <v>76</v>
      </c>
      <c r="E30" t="s">
        <v>77</v>
      </c>
      <c r="F30" s="2">
        <v>1958</v>
      </c>
    </row>
    <row r="31" spans="1:6">
      <c r="A31" t="s">
        <v>20</v>
      </c>
      <c r="B31" t="s">
        <v>21</v>
      </c>
      <c r="C31" t="s">
        <v>75</v>
      </c>
      <c r="D31" t="s">
        <v>78</v>
      </c>
      <c r="E31" t="s">
        <v>79</v>
      </c>
      <c r="F31" s="2">
        <v>421</v>
      </c>
    </row>
    <row r="32" spans="1:6">
      <c r="A32" t="s">
        <v>20</v>
      </c>
      <c r="B32" t="s">
        <v>21</v>
      </c>
      <c r="C32" t="s">
        <v>75</v>
      </c>
      <c r="D32" t="s">
        <v>80</v>
      </c>
      <c r="E32" t="s">
        <v>81</v>
      </c>
      <c r="F32" s="2">
        <v>701</v>
      </c>
    </row>
    <row r="33" spans="1:6">
      <c r="A33" t="s">
        <v>20</v>
      </c>
      <c r="B33" t="s">
        <v>21</v>
      </c>
      <c r="C33" t="s">
        <v>75</v>
      </c>
      <c r="D33" t="s">
        <v>82</v>
      </c>
      <c r="E33" t="s">
        <v>83</v>
      </c>
      <c r="F33" s="2">
        <v>1399</v>
      </c>
    </row>
    <row r="34" spans="1:6">
      <c r="A34" t="s">
        <v>20</v>
      </c>
      <c r="B34" t="s">
        <v>21</v>
      </c>
      <c r="C34" t="s">
        <v>75</v>
      </c>
      <c r="D34" t="s">
        <v>84</v>
      </c>
      <c r="E34" t="s">
        <v>85</v>
      </c>
      <c r="F34" s="2">
        <v>511</v>
      </c>
    </row>
    <row r="35" spans="1:6">
      <c r="A35" t="s">
        <v>20</v>
      </c>
      <c r="B35" t="s">
        <v>21</v>
      </c>
      <c r="C35" t="s">
        <v>75</v>
      </c>
      <c r="D35" t="s">
        <v>86</v>
      </c>
      <c r="E35" t="s">
        <v>87</v>
      </c>
      <c r="F35" s="2">
        <v>514</v>
      </c>
    </row>
    <row r="36" spans="1:6">
      <c r="A36" t="s">
        <v>20</v>
      </c>
      <c r="B36" t="s">
        <v>21</v>
      </c>
      <c r="C36" t="s">
        <v>75</v>
      </c>
      <c r="D36" t="s">
        <v>88</v>
      </c>
      <c r="E36" t="s">
        <v>89</v>
      </c>
      <c r="F36" s="2">
        <v>1847</v>
      </c>
    </row>
    <row r="37" spans="1:6">
      <c r="A37" t="s">
        <v>20</v>
      </c>
      <c r="B37" t="s">
        <v>21</v>
      </c>
      <c r="C37" t="s">
        <v>75</v>
      </c>
      <c r="D37" t="s">
        <v>90</v>
      </c>
      <c r="E37" t="s">
        <v>91</v>
      </c>
      <c r="F37" s="2">
        <v>1746</v>
      </c>
    </row>
    <row r="38" spans="1:6">
      <c r="A38" t="s">
        <v>20</v>
      </c>
      <c r="B38" t="s">
        <v>21</v>
      </c>
      <c r="C38" t="s">
        <v>75</v>
      </c>
      <c r="D38" t="s">
        <v>92</v>
      </c>
      <c r="E38" t="s">
        <v>93</v>
      </c>
      <c r="F38" s="2">
        <v>1314</v>
      </c>
    </row>
    <row r="39" spans="1:6">
      <c r="A39" t="s">
        <v>20</v>
      </c>
      <c r="B39" t="s">
        <v>21</v>
      </c>
      <c r="C39" t="s">
        <v>75</v>
      </c>
      <c r="D39" t="s">
        <v>94</v>
      </c>
      <c r="E39" t="s">
        <v>95</v>
      </c>
      <c r="F39" s="2">
        <v>1270</v>
      </c>
    </row>
    <row r="40" spans="1:6">
      <c r="A40" t="s">
        <v>20</v>
      </c>
      <c r="B40" t="s">
        <v>21</v>
      </c>
      <c r="C40" t="s">
        <v>75</v>
      </c>
      <c r="D40" t="s">
        <v>96</v>
      </c>
      <c r="E40" t="s">
        <v>97</v>
      </c>
      <c r="F40" s="2">
        <v>421</v>
      </c>
    </row>
    <row r="41" spans="1:6">
      <c r="A41" t="s">
        <v>20</v>
      </c>
      <c r="B41" t="s">
        <v>21</v>
      </c>
      <c r="C41" t="s">
        <v>75</v>
      </c>
      <c r="D41" t="s">
        <v>98</v>
      </c>
      <c r="E41" t="s">
        <v>99</v>
      </c>
      <c r="F41" s="2">
        <v>648</v>
      </c>
    </row>
    <row r="42" spans="1:6">
      <c r="A42" t="s">
        <v>20</v>
      </c>
      <c r="B42" t="s">
        <v>21</v>
      </c>
      <c r="C42" t="s">
        <v>75</v>
      </c>
      <c r="D42" t="s">
        <v>100</v>
      </c>
      <c r="E42" t="s">
        <v>101</v>
      </c>
      <c r="F42" s="2">
        <v>1305</v>
      </c>
    </row>
    <row r="43" spans="1:6">
      <c r="A43" t="s">
        <v>20</v>
      </c>
      <c r="B43" t="s">
        <v>21</v>
      </c>
      <c r="C43" t="s">
        <v>75</v>
      </c>
      <c r="D43" t="s">
        <v>102</v>
      </c>
      <c r="E43" t="s">
        <v>103</v>
      </c>
      <c r="F43" s="2">
        <v>118</v>
      </c>
    </row>
    <row r="44" spans="1:6">
      <c r="A44" t="s">
        <v>20</v>
      </c>
      <c r="B44" t="s">
        <v>21</v>
      </c>
      <c r="C44" t="s">
        <v>75</v>
      </c>
      <c r="D44" t="s">
        <v>104</v>
      </c>
      <c r="E44" t="s">
        <v>105</v>
      </c>
      <c r="F44" s="2">
        <v>1027</v>
      </c>
    </row>
    <row r="45" spans="1:6">
      <c r="A45" t="s">
        <v>20</v>
      </c>
      <c r="B45" t="s">
        <v>21</v>
      </c>
      <c r="C45" t="s">
        <v>75</v>
      </c>
      <c r="D45" t="s">
        <v>106</v>
      </c>
      <c r="E45" t="s">
        <v>107</v>
      </c>
      <c r="F45" s="2">
        <v>778</v>
      </c>
    </row>
    <row r="46" spans="1:6">
      <c r="A46" t="s">
        <v>20</v>
      </c>
      <c r="B46" t="s">
        <v>21</v>
      </c>
      <c r="C46" t="s">
        <v>75</v>
      </c>
      <c r="D46" t="s">
        <v>108</v>
      </c>
      <c r="E46" t="s">
        <v>109</v>
      </c>
      <c r="F46" s="2">
        <v>1685</v>
      </c>
    </row>
    <row r="47" spans="1:6">
      <c r="A47" t="s">
        <v>20</v>
      </c>
      <c r="B47" t="s">
        <v>21</v>
      </c>
      <c r="C47" t="s">
        <v>75</v>
      </c>
      <c r="D47" t="s">
        <v>110</v>
      </c>
      <c r="E47" t="s">
        <v>111</v>
      </c>
      <c r="F47" s="2">
        <v>631</v>
      </c>
    </row>
    <row r="48" spans="1:6">
      <c r="A48" t="s">
        <v>20</v>
      </c>
      <c r="B48" t="s">
        <v>21</v>
      </c>
      <c r="C48" t="s">
        <v>75</v>
      </c>
      <c r="D48" t="s">
        <v>112</v>
      </c>
      <c r="E48" t="s">
        <v>113</v>
      </c>
      <c r="F48" s="2">
        <v>981</v>
      </c>
    </row>
    <row r="49" spans="1:6">
      <c r="A49" t="s">
        <v>20</v>
      </c>
      <c r="B49" t="s">
        <v>21</v>
      </c>
      <c r="C49" t="s">
        <v>75</v>
      </c>
      <c r="D49" t="s">
        <v>114</v>
      </c>
      <c r="E49" t="s">
        <v>115</v>
      </c>
      <c r="F49" s="2">
        <v>279</v>
      </c>
    </row>
    <row r="50" spans="1:6">
      <c r="A50" t="s">
        <v>20</v>
      </c>
      <c r="B50" t="s">
        <v>21</v>
      </c>
      <c r="C50" t="s">
        <v>75</v>
      </c>
      <c r="D50" t="s">
        <v>116</v>
      </c>
      <c r="E50" t="s">
        <v>117</v>
      </c>
      <c r="F50" s="2">
        <v>653</v>
      </c>
    </row>
    <row r="51" spans="1:6">
      <c r="A51" t="s">
        <v>20</v>
      </c>
      <c r="B51" t="s">
        <v>21</v>
      </c>
      <c r="C51" t="s">
        <v>75</v>
      </c>
      <c r="D51" t="s">
        <v>118</v>
      </c>
      <c r="E51" t="s">
        <v>119</v>
      </c>
      <c r="F51" s="2">
        <v>355</v>
      </c>
    </row>
    <row r="52" spans="1:6">
      <c r="A52" t="s">
        <v>20</v>
      </c>
      <c r="B52" t="s">
        <v>21</v>
      </c>
      <c r="C52" t="s">
        <v>75</v>
      </c>
      <c r="D52" t="s">
        <v>120</v>
      </c>
      <c r="E52" t="s">
        <v>121</v>
      </c>
      <c r="F52" s="2">
        <v>991</v>
      </c>
    </row>
    <row r="53" spans="1:6">
      <c r="A53" t="s">
        <v>20</v>
      </c>
      <c r="B53" t="s">
        <v>21</v>
      </c>
      <c r="C53" t="s">
        <v>75</v>
      </c>
      <c r="D53" t="s">
        <v>122</v>
      </c>
      <c r="E53" t="s">
        <v>123</v>
      </c>
      <c r="F53" s="2">
        <v>792</v>
      </c>
    </row>
    <row r="54" spans="1:6">
      <c r="A54" t="s">
        <v>20</v>
      </c>
      <c r="B54" t="s">
        <v>21</v>
      </c>
      <c r="C54" t="s">
        <v>75</v>
      </c>
      <c r="D54" t="s">
        <v>124</v>
      </c>
      <c r="E54" t="s">
        <v>125</v>
      </c>
      <c r="F54" s="2">
        <v>866</v>
      </c>
    </row>
    <row r="55" spans="1:6">
      <c r="A55" t="s">
        <v>20</v>
      </c>
      <c r="B55" t="s">
        <v>21</v>
      </c>
      <c r="C55" t="s">
        <v>75</v>
      </c>
      <c r="D55" t="s">
        <v>126</v>
      </c>
      <c r="E55" t="s">
        <v>127</v>
      </c>
      <c r="F55" s="2">
        <v>1125</v>
      </c>
    </row>
    <row r="56" spans="1:6">
      <c r="A56" t="s">
        <v>20</v>
      </c>
      <c r="B56" t="s">
        <v>21</v>
      </c>
      <c r="C56" t="s">
        <v>75</v>
      </c>
      <c r="D56" t="s">
        <v>128</v>
      </c>
      <c r="E56" t="s">
        <v>129</v>
      </c>
      <c r="F56" s="2">
        <v>923</v>
      </c>
    </row>
    <row r="57" spans="1:6">
      <c r="A57" t="s">
        <v>20</v>
      </c>
      <c r="B57" t="s">
        <v>21</v>
      </c>
      <c r="C57" t="s">
        <v>75</v>
      </c>
      <c r="D57" t="s">
        <v>130</v>
      </c>
      <c r="E57" t="s">
        <v>131</v>
      </c>
      <c r="F57" s="2">
        <v>1767</v>
      </c>
    </row>
    <row r="58" spans="1:6">
      <c r="A58" t="s">
        <v>20</v>
      </c>
      <c r="B58" t="s">
        <v>21</v>
      </c>
      <c r="C58" t="s">
        <v>75</v>
      </c>
      <c r="D58" t="s">
        <v>132</v>
      </c>
      <c r="E58" t="s">
        <v>133</v>
      </c>
      <c r="F58" s="2">
        <v>648</v>
      </c>
    </row>
    <row r="59" spans="1:6">
      <c r="A59" t="s">
        <v>20</v>
      </c>
      <c r="B59" t="s">
        <v>21</v>
      </c>
      <c r="C59" t="s">
        <v>75</v>
      </c>
      <c r="D59" t="s">
        <v>134</v>
      </c>
      <c r="E59" t="s">
        <v>135</v>
      </c>
      <c r="F59" s="2">
        <v>2241</v>
      </c>
    </row>
    <row r="60" spans="1:6">
      <c r="A60" t="s">
        <v>20</v>
      </c>
      <c r="B60" t="s">
        <v>21</v>
      </c>
      <c r="C60" t="s">
        <v>75</v>
      </c>
      <c r="D60" t="s">
        <v>136</v>
      </c>
      <c r="E60" t="s">
        <v>137</v>
      </c>
      <c r="F60" s="2">
        <v>526</v>
      </c>
    </row>
    <row r="61" spans="1:6">
      <c r="A61" t="s">
        <v>20</v>
      </c>
      <c r="B61" t="s">
        <v>21</v>
      </c>
      <c r="C61" t="s">
        <v>75</v>
      </c>
      <c r="D61" t="s">
        <v>138</v>
      </c>
      <c r="E61" t="s">
        <v>139</v>
      </c>
      <c r="F61" s="2">
        <v>1068</v>
      </c>
    </row>
    <row r="62" spans="1:6">
      <c r="A62" t="s">
        <v>20</v>
      </c>
      <c r="B62" t="s">
        <v>21</v>
      </c>
      <c r="C62" t="s">
        <v>75</v>
      </c>
      <c r="D62" t="s">
        <v>140</v>
      </c>
      <c r="E62" t="s">
        <v>141</v>
      </c>
      <c r="F62" s="2">
        <v>223</v>
      </c>
    </row>
    <row r="63" spans="1:6">
      <c r="A63" t="s">
        <v>20</v>
      </c>
      <c r="B63" t="s">
        <v>21</v>
      </c>
      <c r="C63" t="s">
        <v>75</v>
      </c>
      <c r="D63" t="s">
        <v>142</v>
      </c>
      <c r="E63" t="s">
        <v>143</v>
      </c>
      <c r="F63" s="2">
        <v>271</v>
      </c>
    </row>
    <row r="64" spans="1:6">
      <c r="A64" t="s">
        <v>20</v>
      </c>
      <c r="B64" t="s">
        <v>21</v>
      </c>
      <c r="C64" t="s">
        <v>75</v>
      </c>
      <c r="D64" t="s">
        <v>144</v>
      </c>
      <c r="E64" t="s">
        <v>145</v>
      </c>
      <c r="F64" s="2">
        <v>331</v>
      </c>
    </row>
    <row r="65" spans="1:6">
      <c r="A65" t="s">
        <v>20</v>
      </c>
      <c r="B65" t="s">
        <v>21</v>
      </c>
      <c r="C65" t="s">
        <v>75</v>
      </c>
      <c r="D65" t="s">
        <v>146</v>
      </c>
      <c r="E65" t="s">
        <v>147</v>
      </c>
      <c r="F65" s="2">
        <v>763</v>
      </c>
    </row>
    <row r="66" spans="1:6">
      <c r="A66" t="s">
        <v>20</v>
      </c>
      <c r="B66" t="s">
        <v>21</v>
      </c>
      <c r="C66" t="s">
        <v>75</v>
      </c>
      <c r="D66" t="s">
        <v>148</v>
      </c>
      <c r="E66" t="s">
        <v>149</v>
      </c>
      <c r="F66" s="2">
        <v>759</v>
      </c>
    </row>
    <row r="67" spans="1:6">
      <c r="A67" t="s">
        <v>20</v>
      </c>
      <c r="B67" t="s">
        <v>21</v>
      </c>
      <c r="C67" t="s">
        <v>75</v>
      </c>
      <c r="D67" t="s">
        <v>150</v>
      </c>
      <c r="E67" t="s">
        <v>151</v>
      </c>
      <c r="F67" s="2">
        <v>612</v>
      </c>
    </row>
    <row r="68" spans="1:6">
      <c r="A68" t="s">
        <v>20</v>
      </c>
      <c r="B68" t="s">
        <v>21</v>
      </c>
      <c r="C68" t="s">
        <v>75</v>
      </c>
      <c r="D68" t="s">
        <v>152</v>
      </c>
      <c r="E68" t="s">
        <v>153</v>
      </c>
      <c r="F68" s="2">
        <v>89</v>
      </c>
    </row>
    <row r="69" spans="1:6">
      <c r="A69" t="s">
        <v>20</v>
      </c>
      <c r="B69" t="s">
        <v>21</v>
      </c>
      <c r="C69" t="s">
        <v>75</v>
      </c>
      <c r="D69" t="s">
        <v>154</v>
      </c>
      <c r="E69" t="s">
        <v>155</v>
      </c>
      <c r="F69" s="2">
        <v>140</v>
      </c>
    </row>
    <row r="70" spans="1:6">
      <c r="A70" t="s">
        <v>20</v>
      </c>
      <c r="B70" t="s">
        <v>21</v>
      </c>
      <c r="C70" t="s">
        <v>75</v>
      </c>
      <c r="D70" t="s">
        <v>156</v>
      </c>
      <c r="E70" t="s">
        <v>157</v>
      </c>
      <c r="F70" s="2">
        <v>98</v>
      </c>
    </row>
    <row r="71" spans="1:6">
      <c r="A71" t="s">
        <v>20</v>
      </c>
      <c r="B71" t="s">
        <v>21</v>
      </c>
      <c r="C71" t="s">
        <v>75</v>
      </c>
      <c r="D71" t="s">
        <v>158</v>
      </c>
      <c r="E71" t="s">
        <v>159</v>
      </c>
      <c r="F71" s="2">
        <v>648</v>
      </c>
    </row>
    <row r="72" spans="1:6">
      <c r="A72" t="s">
        <v>20</v>
      </c>
      <c r="B72" t="s">
        <v>21</v>
      </c>
      <c r="C72" t="s">
        <v>75</v>
      </c>
      <c r="D72" t="s">
        <v>160</v>
      </c>
      <c r="E72" t="s">
        <v>161</v>
      </c>
      <c r="F72" s="2">
        <v>52</v>
      </c>
    </row>
    <row r="73" spans="1:6">
      <c r="A73" t="s">
        <v>20</v>
      </c>
      <c r="B73" t="s">
        <v>21</v>
      </c>
      <c r="C73" t="s">
        <v>75</v>
      </c>
      <c r="D73" t="s">
        <v>162</v>
      </c>
      <c r="E73" t="s">
        <v>163</v>
      </c>
      <c r="F73" s="2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workbookViewId="0">
      <pane ySplit="3" topLeftCell="A4" activePane="bottomLeft" state="frozen"/>
      <selection pane="bottomLeft" activeCell="M9" sqref="M9"/>
    </sheetView>
  </sheetViews>
  <sheetFormatPr defaultRowHeight="18.75"/>
  <cols>
    <col min="1" max="1" width="28" bestFit="1" customWidth="1"/>
    <col min="2" max="2" width="28.125" bestFit="1" customWidth="1"/>
    <col min="3" max="3" width="10" style="2" bestFit="1" customWidth="1"/>
  </cols>
  <sheetData>
    <row r="1" spans="1:3">
      <c r="B1" s="1" t="s">
        <v>13</v>
      </c>
      <c r="C1" s="2">
        <f>SUM(C4:C62)</f>
        <v>4244300</v>
      </c>
    </row>
    <row r="2" spans="1:3">
      <c r="B2" s="1"/>
    </row>
    <row r="3" spans="1:3">
      <c r="A3" t="s">
        <v>14</v>
      </c>
      <c r="B3" t="s">
        <v>15</v>
      </c>
      <c r="C3" s="2" t="s">
        <v>19</v>
      </c>
    </row>
    <row r="4" spans="1:3">
      <c r="A4" t="s">
        <v>164</v>
      </c>
      <c r="B4" t="s">
        <v>165</v>
      </c>
      <c r="C4" s="2">
        <v>28632</v>
      </c>
    </row>
    <row r="5" spans="1:3">
      <c r="A5" t="s">
        <v>164</v>
      </c>
      <c r="B5" t="s">
        <v>166</v>
      </c>
      <c r="C5" s="2">
        <v>316815</v>
      </c>
    </row>
    <row r="6" spans="1:3">
      <c r="A6" t="s">
        <v>164</v>
      </c>
      <c r="B6" t="s">
        <v>167</v>
      </c>
      <c r="C6" s="2">
        <v>73739</v>
      </c>
    </row>
    <row r="7" spans="1:3">
      <c r="A7" t="s">
        <v>164</v>
      </c>
      <c r="B7" t="s">
        <v>168</v>
      </c>
      <c r="C7" s="2">
        <v>86264</v>
      </c>
    </row>
    <row r="8" spans="1:3">
      <c r="A8" t="s">
        <v>164</v>
      </c>
      <c r="B8" t="s">
        <v>169</v>
      </c>
      <c r="C8" s="2">
        <v>18771</v>
      </c>
    </row>
    <row r="9" spans="1:3">
      <c r="A9" t="s">
        <v>164</v>
      </c>
      <c r="B9" t="s">
        <v>170</v>
      </c>
      <c r="C9" s="2">
        <v>70892</v>
      </c>
    </row>
    <row r="10" spans="1:3">
      <c r="A10" t="s">
        <v>164</v>
      </c>
      <c r="B10" t="s">
        <v>171</v>
      </c>
      <c r="C10" s="2">
        <v>15172</v>
      </c>
    </row>
    <row r="11" spans="1:3">
      <c r="A11" t="s">
        <v>172</v>
      </c>
      <c r="B11" t="s">
        <v>173</v>
      </c>
      <c r="C11" s="2">
        <v>28988</v>
      </c>
    </row>
    <row r="12" spans="1:3">
      <c r="A12" t="s">
        <v>172</v>
      </c>
      <c r="B12" t="s">
        <v>174</v>
      </c>
      <c r="C12" s="2">
        <v>74</v>
      </c>
    </row>
    <row r="13" spans="1:3">
      <c r="A13" t="s">
        <v>172</v>
      </c>
      <c r="B13" t="s">
        <v>175</v>
      </c>
      <c r="C13" s="2">
        <v>202193</v>
      </c>
    </row>
    <row r="14" spans="1:3">
      <c r="A14" t="s">
        <v>172</v>
      </c>
      <c r="B14" t="s">
        <v>176</v>
      </c>
      <c r="C14" s="2">
        <v>2</v>
      </c>
    </row>
    <row r="15" spans="1:3">
      <c r="A15" t="s">
        <v>172</v>
      </c>
      <c r="B15" t="s">
        <v>177</v>
      </c>
      <c r="C15" s="2">
        <v>32557</v>
      </c>
    </row>
    <row r="16" spans="1:3">
      <c r="A16" t="s">
        <v>172</v>
      </c>
      <c r="B16" t="s">
        <v>178</v>
      </c>
      <c r="C16" s="2">
        <v>192024</v>
      </c>
    </row>
    <row r="17" spans="1:3">
      <c r="A17" t="s">
        <v>172</v>
      </c>
      <c r="B17" t="s">
        <v>179</v>
      </c>
      <c r="C17" s="2">
        <v>102075</v>
      </c>
    </row>
    <row r="18" spans="1:3">
      <c r="A18" t="s">
        <v>172</v>
      </c>
      <c r="B18" t="s">
        <v>180</v>
      </c>
      <c r="C18" s="2">
        <v>25493</v>
      </c>
    </row>
    <row r="19" spans="1:3">
      <c r="A19" t="s">
        <v>172</v>
      </c>
      <c r="B19" t="s">
        <v>181</v>
      </c>
      <c r="C19" s="2">
        <v>55925</v>
      </c>
    </row>
    <row r="20" spans="1:3">
      <c r="A20" t="s">
        <v>172</v>
      </c>
      <c r="B20" t="s">
        <v>182</v>
      </c>
      <c r="C20" s="2">
        <v>1087</v>
      </c>
    </row>
    <row r="21" spans="1:3">
      <c r="A21" t="s">
        <v>183</v>
      </c>
      <c r="B21" t="s">
        <v>184</v>
      </c>
      <c r="C21" s="2">
        <v>113674</v>
      </c>
    </row>
    <row r="22" spans="1:3">
      <c r="A22" t="s">
        <v>183</v>
      </c>
      <c r="B22" t="s">
        <v>185</v>
      </c>
      <c r="C22" s="2">
        <v>32070</v>
      </c>
    </row>
    <row r="23" spans="1:3">
      <c r="A23" t="s">
        <v>183</v>
      </c>
      <c r="B23" t="s">
        <v>186</v>
      </c>
      <c r="C23" s="2">
        <v>60603</v>
      </c>
    </row>
    <row r="24" spans="1:3">
      <c r="A24" t="s">
        <v>187</v>
      </c>
      <c r="B24" t="s">
        <v>188</v>
      </c>
      <c r="C24" s="2">
        <v>256540</v>
      </c>
    </row>
    <row r="25" spans="1:3">
      <c r="A25" t="s">
        <v>187</v>
      </c>
      <c r="B25" t="s">
        <v>189</v>
      </c>
      <c r="C25" s="2">
        <v>124453</v>
      </c>
    </row>
    <row r="26" spans="1:3">
      <c r="A26" t="s">
        <v>187</v>
      </c>
      <c r="B26" t="s">
        <v>190</v>
      </c>
      <c r="C26" s="2">
        <v>123830</v>
      </c>
    </row>
    <row r="27" spans="1:3">
      <c r="A27" t="s">
        <v>187</v>
      </c>
      <c r="B27" t="s">
        <v>191</v>
      </c>
      <c r="C27" s="2">
        <v>125485</v>
      </c>
    </row>
    <row r="28" spans="1:3">
      <c r="A28" t="s">
        <v>187</v>
      </c>
      <c r="B28" t="s">
        <v>192</v>
      </c>
      <c r="C28" s="2">
        <v>65858</v>
      </c>
    </row>
    <row r="29" spans="1:3">
      <c r="A29" t="s">
        <v>187</v>
      </c>
      <c r="B29" t="s">
        <v>193</v>
      </c>
      <c r="C29" s="2">
        <v>85961</v>
      </c>
    </row>
    <row r="30" spans="1:3">
      <c r="A30" t="s">
        <v>187</v>
      </c>
      <c r="B30" t="s">
        <v>194</v>
      </c>
      <c r="C30" s="2">
        <v>164015</v>
      </c>
    </row>
    <row r="31" spans="1:3">
      <c r="A31" t="s">
        <v>187</v>
      </c>
      <c r="B31" t="s">
        <v>195</v>
      </c>
      <c r="C31" s="2">
        <v>309242</v>
      </c>
    </row>
    <row r="32" spans="1:3">
      <c r="A32" t="s">
        <v>187</v>
      </c>
      <c r="B32" t="s">
        <v>196</v>
      </c>
      <c r="C32" s="2">
        <v>399237</v>
      </c>
    </row>
    <row r="33" spans="1:3">
      <c r="A33" t="s">
        <v>187</v>
      </c>
      <c r="B33" t="s">
        <v>197</v>
      </c>
      <c r="C33" s="2">
        <v>106052</v>
      </c>
    </row>
    <row r="34" spans="1:3">
      <c r="A34" t="s">
        <v>187</v>
      </c>
      <c r="B34" t="s">
        <v>198</v>
      </c>
      <c r="C34" s="2">
        <v>64584</v>
      </c>
    </row>
    <row r="35" spans="1:3">
      <c r="A35" t="s">
        <v>187</v>
      </c>
      <c r="B35" t="s">
        <v>199</v>
      </c>
      <c r="C35" s="2">
        <v>226132</v>
      </c>
    </row>
    <row r="36" spans="1:3">
      <c r="A36" t="s">
        <v>200</v>
      </c>
      <c r="B36" t="s">
        <v>201</v>
      </c>
      <c r="C36" s="2">
        <v>35492</v>
      </c>
    </row>
    <row r="37" spans="1:3">
      <c r="A37" t="s">
        <v>200</v>
      </c>
      <c r="B37" t="s">
        <v>202</v>
      </c>
      <c r="C37" s="2">
        <v>43714</v>
      </c>
    </row>
    <row r="38" spans="1:3">
      <c r="A38" t="s">
        <v>200</v>
      </c>
      <c r="B38" t="s">
        <v>203</v>
      </c>
      <c r="C38" s="2">
        <v>95446</v>
      </c>
    </row>
    <row r="39" spans="1:3">
      <c r="A39" t="s">
        <v>200</v>
      </c>
      <c r="B39" t="s">
        <v>204</v>
      </c>
      <c r="C39" s="2">
        <v>32590</v>
      </c>
    </row>
    <row r="40" spans="1:3">
      <c r="A40" t="s">
        <v>200</v>
      </c>
      <c r="B40" t="s">
        <v>205</v>
      </c>
      <c r="C40" s="2">
        <v>3893</v>
      </c>
    </row>
    <row r="41" spans="1:3">
      <c r="A41" t="s">
        <v>20</v>
      </c>
      <c r="B41" t="s">
        <v>206</v>
      </c>
      <c r="C41" s="2">
        <v>106476</v>
      </c>
    </row>
    <row r="42" spans="1:3">
      <c r="A42" t="s">
        <v>20</v>
      </c>
      <c r="B42" t="s">
        <v>21</v>
      </c>
      <c r="C42" s="2">
        <v>115182</v>
      </c>
    </row>
    <row r="43" spans="1:3">
      <c r="A43" t="s">
        <v>20</v>
      </c>
      <c r="B43" t="s">
        <v>207</v>
      </c>
      <c r="C43" s="2">
        <v>37425</v>
      </c>
    </row>
    <row r="44" spans="1:3">
      <c r="A44" t="s">
        <v>20</v>
      </c>
      <c r="B44" t="s">
        <v>208</v>
      </c>
      <c r="C44" s="2">
        <v>115360</v>
      </c>
    </row>
    <row r="45" spans="1:3">
      <c r="A45" t="s">
        <v>209</v>
      </c>
      <c r="B45" t="s">
        <v>210</v>
      </c>
      <c r="C45" s="2">
        <v>25025</v>
      </c>
    </row>
    <row r="46" spans="1:3">
      <c r="A46" t="s">
        <v>209</v>
      </c>
      <c r="B46" t="s">
        <v>211</v>
      </c>
      <c r="C46" s="2">
        <v>22689</v>
      </c>
    </row>
    <row r="47" spans="1:3">
      <c r="A47" t="s">
        <v>209</v>
      </c>
      <c r="B47" t="s">
        <v>212</v>
      </c>
      <c r="C47" s="2">
        <v>53458</v>
      </c>
    </row>
    <row r="48" spans="1:3">
      <c r="A48" t="s">
        <v>209</v>
      </c>
      <c r="B48" t="s">
        <v>213</v>
      </c>
      <c r="C48" s="2">
        <v>32422</v>
      </c>
    </row>
    <row r="49" spans="1:3">
      <c r="A49" t="s">
        <v>214</v>
      </c>
      <c r="B49" t="s">
        <v>215</v>
      </c>
      <c r="C49" s="2">
        <v>5</v>
      </c>
    </row>
    <row r="50" spans="1:3">
      <c r="A50" t="s">
        <v>214</v>
      </c>
      <c r="B50" t="s">
        <v>216</v>
      </c>
      <c r="C50" s="2">
        <v>1</v>
      </c>
    </row>
    <row r="51" spans="1:3">
      <c r="A51" t="s">
        <v>214</v>
      </c>
      <c r="B51" t="s">
        <v>217</v>
      </c>
      <c r="C51" s="2">
        <v>2413</v>
      </c>
    </row>
    <row r="52" spans="1:3">
      <c r="A52" t="s">
        <v>214</v>
      </c>
      <c r="B52" t="s">
        <v>218</v>
      </c>
      <c r="C52" s="2">
        <v>95</v>
      </c>
    </row>
    <row r="53" spans="1:3">
      <c r="A53" t="s">
        <v>214</v>
      </c>
      <c r="B53" t="s">
        <v>219</v>
      </c>
      <c r="C53" s="2">
        <v>2268</v>
      </c>
    </row>
    <row r="54" spans="1:3">
      <c r="A54" t="s">
        <v>214</v>
      </c>
      <c r="B54" t="s">
        <v>220</v>
      </c>
      <c r="C54" s="2">
        <v>125</v>
      </c>
    </row>
    <row r="55" spans="1:3">
      <c r="A55" t="s">
        <v>214</v>
      </c>
      <c r="B55" t="s">
        <v>221</v>
      </c>
      <c r="C55" s="2">
        <v>27</v>
      </c>
    </row>
    <row r="56" spans="1:3">
      <c r="A56" t="s">
        <v>214</v>
      </c>
      <c r="B56" t="s">
        <v>222</v>
      </c>
      <c r="C56" s="2">
        <v>69</v>
      </c>
    </row>
    <row r="57" spans="1:3">
      <c r="A57" t="s">
        <v>214</v>
      </c>
      <c r="B57" t="s">
        <v>223</v>
      </c>
      <c r="C57" s="2">
        <v>33</v>
      </c>
    </row>
    <row r="58" spans="1:3">
      <c r="A58" t="s">
        <v>214</v>
      </c>
      <c r="B58" t="s">
        <v>224</v>
      </c>
      <c r="C58" s="2">
        <v>45</v>
      </c>
    </row>
    <row r="59" spans="1:3">
      <c r="A59" t="s">
        <v>214</v>
      </c>
      <c r="B59" t="s">
        <v>225</v>
      </c>
      <c r="C59" s="2">
        <v>2865</v>
      </c>
    </row>
    <row r="60" spans="1:3">
      <c r="A60" t="s">
        <v>226</v>
      </c>
      <c r="B60" t="s">
        <v>227</v>
      </c>
      <c r="C60" s="2">
        <v>7376</v>
      </c>
    </row>
    <row r="61" spans="1:3">
      <c r="A61" t="s">
        <v>226</v>
      </c>
      <c r="B61" t="s">
        <v>228</v>
      </c>
      <c r="C61" s="2">
        <v>664</v>
      </c>
    </row>
    <row r="62" spans="1:3">
      <c r="A62" t="s">
        <v>226</v>
      </c>
      <c r="B62" t="s">
        <v>229</v>
      </c>
      <c r="C62" s="2">
        <v>703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"/>
  <sheetViews>
    <sheetView workbookViewId="0">
      <pane xSplit="5" ySplit="4" topLeftCell="F11" activePane="bottomRight" state="frozen"/>
      <selection pane="bottomRight" activeCell="F29" sqref="F29"/>
      <selection pane="bottomLeft" activeCell="A5" sqref="A5"/>
      <selection pane="topRight" activeCell="F1" sqref="F1"/>
    </sheetView>
  </sheetViews>
  <sheetFormatPr defaultRowHeight="18.75"/>
  <cols>
    <col min="1" max="1" width="19.75" bestFit="1" customWidth="1"/>
    <col min="2" max="2" width="12.25" bestFit="1" customWidth="1"/>
    <col min="3" max="3" width="13.5" bestFit="1" customWidth="1"/>
    <col min="4" max="4" width="48.125" bestFit="1" customWidth="1"/>
    <col min="5" max="5" width="50.375" bestFit="1" customWidth="1"/>
    <col min="6" max="6" width="14.75" style="2" bestFit="1" customWidth="1"/>
    <col min="7" max="7" width="17.25" style="2" bestFit="1" customWidth="1"/>
    <col min="8" max="8" width="18.875" style="2" bestFit="1" customWidth="1"/>
    <col min="9" max="9" width="21.375" style="2" bestFit="1" customWidth="1"/>
    <col min="10" max="10" width="18.875" style="2" bestFit="1" customWidth="1"/>
    <col min="11" max="11" width="21.375" style="2" bestFit="1" customWidth="1"/>
  </cols>
  <sheetData>
    <row r="1" spans="1:11">
      <c r="E1" s="1" t="s">
        <v>13</v>
      </c>
      <c r="F1" s="2">
        <f>SUM(F5:F74)</f>
        <v>17036</v>
      </c>
      <c r="G1" s="2">
        <f t="shared" ref="G1:K1" si="0">SUM(G5:G74)</f>
        <v>45860439</v>
      </c>
      <c r="H1" s="2">
        <f t="shared" si="0"/>
        <v>33066</v>
      </c>
      <c r="I1" s="2">
        <f t="shared" si="0"/>
        <v>569582018</v>
      </c>
      <c r="J1" s="2">
        <f t="shared" si="0"/>
        <v>60688</v>
      </c>
      <c r="K1" s="2">
        <f t="shared" si="0"/>
        <v>1839603278</v>
      </c>
    </row>
    <row r="3" spans="1:11">
      <c r="F3" s="9" t="s">
        <v>230</v>
      </c>
      <c r="G3" s="9"/>
      <c r="H3" s="10" t="s">
        <v>231</v>
      </c>
      <c r="I3" s="10"/>
      <c r="J3" s="11" t="s">
        <v>232</v>
      </c>
      <c r="K3" s="11"/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9" t="s">
        <v>233</v>
      </c>
      <c r="G4" s="9" t="s">
        <v>234</v>
      </c>
      <c r="H4" s="10" t="s">
        <v>233</v>
      </c>
      <c r="I4" s="10" t="s">
        <v>234</v>
      </c>
      <c r="J4" s="11" t="s">
        <v>233</v>
      </c>
      <c r="K4" s="11" t="s">
        <v>234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2">
        <v>81</v>
      </c>
      <c r="G5" s="2">
        <v>17480</v>
      </c>
      <c r="H5" s="2">
        <v>268</v>
      </c>
      <c r="I5" s="2">
        <v>577305</v>
      </c>
      <c r="J5" s="2">
        <v>596</v>
      </c>
      <c r="K5" s="2">
        <v>840766</v>
      </c>
    </row>
    <row r="6" spans="1:11">
      <c r="A6" t="s">
        <v>20</v>
      </c>
      <c r="B6" t="s">
        <v>21</v>
      </c>
      <c r="C6" t="s">
        <v>22</v>
      </c>
      <c r="D6" t="s">
        <v>25</v>
      </c>
      <c r="E6" t="s">
        <v>26</v>
      </c>
      <c r="F6" s="2">
        <v>46</v>
      </c>
      <c r="G6" s="2">
        <v>302358</v>
      </c>
      <c r="H6" s="2">
        <v>151</v>
      </c>
      <c r="I6" s="2">
        <v>3934713</v>
      </c>
      <c r="J6" s="2">
        <v>371</v>
      </c>
      <c r="K6" s="2">
        <v>12850160</v>
      </c>
    </row>
    <row r="7" spans="1:11">
      <c r="A7" t="s">
        <v>20</v>
      </c>
      <c r="B7" t="s">
        <v>21</v>
      </c>
      <c r="C7" t="s">
        <v>22</v>
      </c>
      <c r="D7" t="s">
        <v>27</v>
      </c>
      <c r="E7" t="s">
        <v>28</v>
      </c>
      <c r="F7" s="2">
        <v>61</v>
      </c>
      <c r="G7" s="2">
        <v>290096</v>
      </c>
      <c r="H7" s="2">
        <v>133</v>
      </c>
      <c r="I7" s="2">
        <v>3477311</v>
      </c>
      <c r="J7" s="2">
        <v>263</v>
      </c>
      <c r="K7" s="2">
        <v>10609842</v>
      </c>
    </row>
    <row r="8" spans="1:11">
      <c r="A8" t="s">
        <v>20</v>
      </c>
      <c r="B8" t="s">
        <v>21</v>
      </c>
      <c r="C8" t="s">
        <v>22</v>
      </c>
      <c r="D8" t="s">
        <v>29</v>
      </c>
      <c r="E8" t="s">
        <v>30</v>
      </c>
      <c r="F8" s="2">
        <v>444</v>
      </c>
      <c r="G8" s="2">
        <v>1797235</v>
      </c>
      <c r="H8" s="2">
        <v>771</v>
      </c>
      <c r="I8" s="2">
        <v>20392339</v>
      </c>
      <c r="J8" s="2">
        <v>1278</v>
      </c>
      <c r="K8" s="2">
        <v>63616717</v>
      </c>
    </row>
    <row r="9" spans="1:11">
      <c r="A9" t="s">
        <v>20</v>
      </c>
      <c r="B9" t="s">
        <v>21</v>
      </c>
      <c r="C9" t="s">
        <v>22</v>
      </c>
      <c r="D9" t="s">
        <v>31</v>
      </c>
      <c r="E9" t="s">
        <v>32</v>
      </c>
      <c r="F9" s="2">
        <v>192</v>
      </c>
      <c r="G9" s="2">
        <v>961429</v>
      </c>
      <c r="H9" s="2">
        <v>492</v>
      </c>
      <c r="I9" s="2">
        <v>11548930</v>
      </c>
      <c r="J9" s="2">
        <v>915</v>
      </c>
      <c r="K9" s="2">
        <v>37414533</v>
      </c>
    </row>
    <row r="10" spans="1:11">
      <c r="A10" t="s">
        <v>20</v>
      </c>
      <c r="B10" t="s">
        <v>21</v>
      </c>
      <c r="C10" t="s">
        <v>22</v>
      </c>
      <c r="D10" t="s">
        <v>33</v>
      </c>
      <c r="E10" t="s">
        <v>34</v>
      </c>
      <c r="F10" s="2">
        <v>230</v>
      </c>
      <c r="G10" s="2">
        <v>2564096</v>
      </c>
      <c r="H10" s="2">
        <v>332</v>
      </c>
      <c r="I10" s="2">
        <v>32018248</v>
      </c>
      <c r="J10" s="2">
        <v>470</v>
      </c>
      <c r="K10" s="2">
        <v>103117045</v>
      </c>
    </row>
    <row r="11" spans="1:11">
      <c r="A11" t="s">
        <v>20</v>
      </c>
      <c r="B11" t="s">
        <v>21</v>
      </c>
      <c r="C11" t="s">
        <v>22</v>
      </c>
      <c r="D11" t="s">
        <v>35</v>
      </c>
      <c r="E11" t="s">
        <v>36</v>
      </c>
      <c r="F11" s="2">
        <v>141</v>
      </c>
      <c r="G11" s="2">
        <v>1008341</v>
      </c>
      <c r="H11" s="2">
        <v>251</v>
      </c>
      <c r="I11" s="2">
        <v>12728558</v>
      </c>
      <c r="J11" s="2">
        <v>447</v>
      </c>
      <c r="K11" s="2">
        <v>43612512</v>
      </c>
    </row>
    <row r="12" spans="1:11">
      <c r="A12" t="s">
        <v>20</v>
      </c>
      <c r="B12" t="s">
        <v>21</v>
      </c>
      <c r="C12" t="s">
        <v>22</v>
      </c>
      <c r="D12" t="s">
        <v>37</v>
      </c>
      <c r="E12" t="s">
        <v>38</v>
      </c>
      <c r="F12" s="2">
        <v>277</v>
      </c>
      <c r="G12" s="2">
        <v>915705</v>
      </c>
      <c r="H12" s="2">
        <v>589</v>
      </c>
      <c r="I12" s="2">
        <v>11186879</v>
      </c>
      <c r="J12" s="2">
        <v>1087</v>
      </c>
      <c r="K12" s="2">
        <v>33490366</v>
      </c>
    </row>
    <row r="13" spans="1:11">
      <c r="A13" t="s">
        <v>20</v>
      </c>
      <c r="B13" t="s">
        <v>21</v>
      </c>
      <c r="C13" t="s">
        <v>22</v>
      </c>
      <c r="D13" t="s">
        <v>39</v>
      </c>
      <c r="E13" t="s">
        <v>40</v>
      </c>
      <c r="F13" s="2">
        <v>63</v>
      </c>
      <c r="G13" s="2">
        <v>188213</v>
      </c>
      <c r="H13" s="2">
        <v>86</v>
      </c>
      <c r="I13" s="2">
        <v>2770420</v>
      </c>
      <c r="J13" s="2">
        <v>144</v>
      </c>
      <c r="K13" s="2">
        <v>9199204</v>
      </c>
    </row>
    <row r="14" spans="1:11">
      <c r="A14" t="s">
        <v>20</v>
      </c>
      <c r="B14" t="s">
        <v>21</v>
      </c>
      <c r="C14" t="s">
        <v>22</v>
      </c>
      <c r="D14" t="s">
        <v>41</v>
      </c>
      <c r="E14" t="s">
        <v>42</v>
      </c>
      <c r="F14" s="2">
        <v>172</v>
      </c>
      <c r="G14" s="2">
        <v>455593</v>
      </c>
      <c r="H14" s="2">
        <v>291</v>
      </c>
      <c r="I14" s="2">
        <v>6256437</v>
      </c>
      <c r="J14" s="2">
        <v>688</v>
      </c>
      <c r="K14" s="2">
        <v>19643220</v>
      </c>
    </row>
    <row r="15" spans="1:11">
      <c r="A15" t="s">
        <v>20</v>
      </c>
      <c r="B15" t="s">
        <v>21</v>
      </c>
      <c r="C15" t="s">
        <v>22</v>
      </c>
      <c r="D15" t="s">
        <v>43</v>
      </c>
      <c r="E15" t="s">
        <v>44</v>
      </c>
      <c r="F15" s="2">
        <v>239</v>
      </c>
      <c r="G15" s="2">
        <v>1064079</v>
      </c>
      <c r="H15" s="2">
        <v>439</v>
      </c>
      <c r="I15" s="2">
        <v>11957279</v>
      </c>
      <c r="J15" s="2">
        <v>962</v>
      </c>
      <c r="K15" s="2">
        <v>40125363</v>
      </c>
    </row>
    <row r="16" spans="1:11">
      <c r="A16" t="s">
        <v>20</v>
      </c>
      <c r="B16" t="s">
        <v>21</v>
      </c>
      <c r="C16" t="s">
        <v>22</v>
      </c>
      <c r="D16" t="s">
        <v>45</v>
      </c>
      <c r="E16" t="s">
        <v>46</v>
      </c>
      <c r="F16" s="2">
        <v>231</v>
      </c>
      <c r="G16" s="2">
        <v>1064227</v>
      </c>
      <c r="H16" s="2">
        <v>588</v>
      </c>
      <c r="I16" s="2">
        <v>13604995</v>
      </c>
      <c r="J16" s="2">
        <v>1086</v>
      </c>
      <c r="K16" s="2">
        <v>46601205</v>
      </c>
    </row>
    <row r="17" spans="1:11">
      <c r="A17" t="s">
        <v>20</v>
      </c>
      <c r="B17" t="s">
        <v>21</v>
      </c>
      <c r="C17" t="s">
        <v>22</v>
      </c>
      <c r="D17" t="s">
        <v>47</v>
      </c>
      <c r="E17" t="s">
        <v>48</v>
      </c>
      <c r="F17" s="2">
        <v>366</v>
      </c>
      <c r="G17" s="2">
        <v>1830306</v>
      </c>
      <c r="H17" s="2">
        <v>674</v>
      </c>
      <c r="I17" s="2">
        <v>23188300</v>
      </c>
      <c r="J17" s="2">
        <v>1476</v>
      </c>
      <c r="K17" s="2">
        <v>73055233</v>
      </c>
    </row>
    <row r="18" spans="1:11">
      <c r="A18" t="s">
        <v>20</v>
      </c>
      <c r="B18" t="s">
        <v>21</v>
      </c>
      <c r="C18" t="s">
        <v>22</v>
      </c>
      <c r="D18" t="s">
        <v>49</v>
      </c>
      <c r="E18" t="s">
        <v>50</v>
      </c>
      <c r="F18" s="2">
        <v>108</v>
      </c>
      <c r="G18" s="2">
        <v>480337</v>
      </c>
      <c r="H18" s="2">
        <v>254</v>
      </c>
      <c r="I18" s="2">
        <v>6454298</v>
      </c>
      <c r="J18" s="2">
        <v>518</v>
      </c>
      <c r="K18" s="2">
        <v>21180883</v>
      </c>
    </row>
    <row r="19" spans="1:11">
      <c r="A19" t="s">
        <v>20</v>
      </c>
      <c r="B19" t="s">
        <v>21</v>
      </c>
      <c r="C19" t="s">
        <v>22</v>
      </c>
      <c r="D19" t="s">
        <v>51</v>
      </c>
      <c r="E19" t="s">
        <v>52</v>
      </c>
      <c r="F19" s="2">
        <v>393</v>
      </c>
      <c r="G19" s="2">
        <v>1204706</v>
      </c>
      <c r="H19" s="2">
        <v>777</v>
      </c>
      <c r="I19" s="2">
        <v>14842585</v>
      </c>
      <c r="J19" s="2">
        <v>1451</v>
      </c>
      <c r="K19" s="2">
        <v>54267343</v>
      </c>
    </row>
    <row r="20" spans="1:11">
      <c r="A20" t="s">
        <v>20</v>
      </c>
      <c r="B20" t="s">
        <v>21</v>
      </c>
      <c r="C20" t="s">
        <v>22</v>
      </c>
      <c r="D20" t="s">
        <v>53</v>
      </c>
      <c r="E20" t="s">
        <v>54</v>
      </c>
      <c r="F20" s="2">
        <v>200</v>
      </c>
      <c r="G20" s="2">
        <v>543580</v>
      </c>
      <c r="H20" s="2">
        <v>338</v>
      </c>
      <c r="I20" s="2">
        <v>7106324</v>
      </c>
      <c r="J20" s="2">
        <v>647</v>
      </c>
      <c r="K20" s="2">
        <v>25336002</v>
      </c>
    </row>
    <row r="21" spans="1:11">
      <c r="A21" t="s">
        <v>20</v>
      </c>
      <c r="B21" t="s">
        <v>21</v>
      </c>
      <c r="C21" t="s">
        <v>22</v>
      </c>
      <c r="D21" t="s">
        <v>55</v>
      </c>
      <c r="E21" t="s">
        <v>56</v>
      </c>
      <c r="F21" s="2">
        <v>27</v>
      </c>
      <c r="G21" s="2">
        <v>45274</v>
      </c>
      <c r="H21" s="2">
        <v>47</v>
      </c>
      <c r="I21" s="2">
        <v>773456</v>
      </c>
      <c r="J21" s="2">
        <v>97</v>
      </c>
      <c r="K21" s="2">
        <v>2705345</v>
      </c>
    </row>
    <row r="22" spans="1:11">
      <c r="A22" t="s">
        <v>20</v>
      </c>
      <c r="B22" t="s">
        <v>21</v>
      </c>
      <c r="C22" t="s">
        <v>22</v>
      </c>
      <c r="D22" t="s">
        <v>57</v>
      </c>
      <c r="E22" t="s">
        <v>58</v>
      </c>
      <c r="F22" s="2">
        <v>616</v>
      </c>
      <c r="G22" s="2">
        <v>4512369</v>
      </c>
      <c r="H22" s="2">
        <v>1330</v>
      </c>
      <c r="I22" s="2">
        <v>51799047</v>
      </c>
      <c r="J22" s="2">
        <v>2949</v>
      </c>
      <c r="K22" s="2">
        <v>164505176</v>
      </c>
    </row>
    <row r="23" spans="1:11">
      <c r="A23" t="s">
        <v>20</v>
      </c>
      <c r="B23" t="s">
        <v>21</v>
      </c>
      <c r="C23" t="s">
        <v>22</v>
      </c>
      <c r="D23" t="s">
        <v>59</v>
      </c>
      <c r="E23" t="s">
        <v>60</v>
      </c>
      <c r="F23" s="2">
        <v>238</v>
      </c>
      <c r="G23" s="2">
        <v>892750</v>
      </c>
      <c r="H23" s="2">
        <v>486</v>
      </c>
      <c r="I23" s="2">
        <v>9873214</v>
      </c>
      <c r="J23" s="2">
        <v>1049</v>
      </c>
      <c r="K23" s="2">
        <v>28745720</v>
      </c>
    </row>
    <row r="24" spans="1:11">
      <c r="A24" t="s">
        <v>20</v>
      </c>
      <c r="B24" t="s">
        <v>21</v>
      </c>
      <c r="C24" t="s">
        <v>22</v>
      </c>
      <c r="D24" t="s">
        <v>61</v>
      </c>
      <c r="E24" t="s">
        <v>62</v>
      </c>
      <c r="F24" s="2">
        <v>350</v>
      </c>
      <c r="G24" s="2">
        <v>704966</v>
      </c>
      <c r="H24" s="2">
        <v>635</v>
      </c>
      <c r="I24" s="2">
        <v>8546597</v>
      </c>
      <c r="J24" s="2">
        <v>1191</v>
      </c>
      <c r="K24" s="2">
        <v>28728194</v>
      </c>
    </row>
    <row r="25" spans="1:11">
      <c r="A25" t="s">
        <v>20</v>
      </c>
      <c r="B25" t="s">
        <v>21</v>
      </c>
      <c r="C25" t="s">
        <v>22</v>
      </c>
      <c r="D25" t="s">
        <v>63</v>
      </c>
      <c r="E25" t="s">
        <v>64</v>
      </c>
      <c r="F25" s="2">
        <v>812</v>
      </c>
      <c r="G25" s="2">
        <v>2005588</v>
      </c>
      <c r="H25" s="2">
        <v>2646</v>
      </c>
      <c r="I25" s="2">
        <v>25115772</v>
      </c>
      <c r="J25" s="2">
        <v>6878</v>
      </c>
      <c r="K25" s="2">
        <v>77998247</v>
      </c>
    </row>
    <row r="26" spans="1:11">
      <c r="A26" t="s">
        <v>20</v>
      </c>
      <c r="B26" t="s">
        <v>21</v>
      </c>
      <c r="C26" t="s">
        <v>22</v>
      </c>
      <c r="D26" t="s">
        <v>65</v>
      </c>
      <c r="E26" t="s">
        <v>66</v>
      </c>
      <c r="F26" s="2">
        <v>127</v>
      </c>
      <c r="G26" s="2">
        <v>576713</v>
      </c>
      <c r="H26" s="2">
        <v>272</v>
      </c>
      <c r="I26" s="2">
        <v>7586042</v>
      </c>
      <c r="J26" s="2">
        <v>502</v>
      </c>
      <c r="K26" s="2">
        <v>23463048</v>
      </c>
    </row>
    <row r="27" spans="1:11">
      <c r="A27" t="s">
        <v>20</v>
      </c>
      <c r="B27" t="s">
        <v>21</v>
      </c>
      <c r="C27" t="s">
        <v>22</v>
      </c>
      <c r="D27" t="s">
        <v>67</v>
      </c>
      <c r="E27" t="s">
        <v>68</v>
      </c>
      <c r="F27" s="2">
        <v>23</v>
      </c>
      <c r="G27" s="2">
        <v>42765</v>
      </c>
      <c r="H27" s="2">
        <v>47</v>
      </c>
      <c r="I27" s="2">
        <v>626928</v>
      </c>
      <c r="J27" s="2">
        <v>103</v>
      </c>
      <c r="K27" s="2">
        <v>2302261</v>
      </c>
    </row>
    <row r="28" spans="1:11">
      <c r="A28" t="s">
        <v>20</v>
      </c>
      <c r="B28" t="s">
        <v>21</v>
      </c>
      <c r="C28" t="s">
        <v>22</v>
      </c>
      <c r="D28" t="s">
        <v>69</v>
      </c>
      <c r="E28" t="s">
        <v>70</v>
      </c>
      <c r="F28" s="2">
        <v>1</v>
      </c>
      <c r="G28" s="2">
        <v>50</v>
      </c>
      <c r="H28" s="2">
        <v>1</v>
      </c>
      <c r="I28" s="2">
        <v>799</v>
      </c>
      <c r="J28" s="2">
        <v>5</v>
      </c>
      <c r="K28" s="2">
        <v>1182</v>
      </c>
    </row>
    <row r="29" spans="1:11">
      <c r="A29" t="s">
        <v>20</v>
      </c>
      <c r="B29" t="s">
        <v>21</v>
      </c>
      <c r="C29" t="s">
        <v>22</v>
      </c>
      <c r="D29" t="s">
        <v>71</v>
      </c>
      <c r="E29" t="s">
        <v>72</v>
      </c>
      <c r="F29" s="2">
        <v>0</v>
      </c>
      <c r="G29" s="2">
        <v>0</v>
      </c>
      <c r="H29" s="2">
        <v>1</v>
      </c>
      <c r="I29" s="2">
        <v>12</v>
      </c>
      <c r="J29" s="2">
        <v>6</v>
      </c>
      <c r="K29" s="2">
        <v>563</v>
      </c>
    </row>
    <row r="30" spans="1:11">
      <c r="A30" t="s">
        <v>20</v>
      </c>
      <c r="B30" t="s">
        <v>21</v>
      </c>
      <c r="C30" t="s">
        <v>22</v>
      </c>
      <c r="D30" t="s">
        <v>73</v>
      </c>
      <c r="E30" t="s">
        <v>74</v>
      </c>
      <c r="F30" s="2">
        <v>4</v>
      </c>
      <c r="G30" s="2">
        <v>228</v>
      </c>
      <c r="H30" s="2">
        <v>5</v>
      </c>
      <c r="I30" s="2">
        <v>7267</v>
      </c>
      <c r="J30" s="2">
        <v>13</v>
      </c>
      <c r="K30" s="2">
        <v>39247</v>
      </c>
    </row>
    <row r="31" spans="1:11">
      <c r="A31" t="s">
        <v>20</v>
      </c>
      <c r="B31" t="s">
        <v>21</v>
      </c>
      <c r="C31" t="s">
        <v>75</v>
      </c>
      <c r="D31" t="s">
        <v>76</v>
      </c>
      <c r="E31" t="s">
        <v>77</v>
      </c>
      <c r="F31" s="2">
        <v>349</v>
      </c>
      <c r="G31" s="2">
        <v>86325</v>
      </c>
      <c r="H31" s="2">
        <v>957</v>
      </c>
      <c r="I31" s="2">
        <v>1159715</v>
      </c>
      <c r="J31" s="2">
        <v>1958</v>
      </c>
      <c r="K31" s="2">
        <v>3346058</v>
      </c>
    </row>
    <row r="32" spans="1:11">
      <c r="A32" t="s">
        <v>20</v>
      </c>
      <c r="B32" t="s">
        <v>21</v>
      </c>
      <c r="C32" t="s">
        <v>75</v>
      </c>
      <c r="D32" t="s">
        <v>78</v>
      </c>
      <c r="E32" t="s">
        <v>79</v>
      </c>
      <c r="F32" s="2">
        <v>99</v>
      </c>
      <c r="G32" s="2">
        <v>243716</v>
      </c>
      <c r="H32" s="2">
        <v>228</v>
      </c>
      <c r="I32" s="2">
        <v>3024210</v>
      </c>
      <c r="J32" s="2">
        <v>421</v>
      </c>
      <c r="K32" s="2">
        <v>10368651</v>
      </c>
    </row>
    <row r="33" spans="1:11">
      <c r="A33" t="s">
        <v>20</v>
      </c>
      <c r="B33" t="s">
        <v>21</v>
      </c>
      <c r="C33" t="s">
        <v>75</v>
      </c>
      <c r="D33" t="s">
        <v>80</v>
      </c>
      <c r="E33" t="s">
        <v>81</v>
      </c>
      <c r="F33" s="2">
        <v>152</v>
      </c>
      <c r="G33" s="2">
        <v>351183</v>
      </c>
      <c r="H33" s="2">
        <v>327</v>
      </c>
      <c r="I33" s="2">
        <v>4826797</v>
      </c>
      <c r="J33" s="2">
        <v>701</v>
      </c>
      <c r="K33" s="2">
        <v>16399348</v>
      </c>
    </row>
    <row r="34" spans="1:11">
      <c r="A34" t="s">
        <v>20</v>
      </c>
      <c r="B34" t="s">
        <v>21</v>
      </c>
      <c r="C34" t="s">
        <v>75</v>
      </c>
      <c r="D34" t="s">
        <v>82</v>
      </c>
      <c r="E34" t="s">
        <v>83</v>
      </c>
      <c r="F34" s="2">
        <v>412</v>
      </c>
      <c r="G34" s="2">
        <v>324073</v>
      </c>
      <c r="H34" s="2">
        <v>775</v>
      </c>
      <c r="I34" s="2">
        <v>3755287</v>
      </c>
      <c r="J34" s="2">
        <v>1399</v>
      </c>
      <c r="K34" s="2">
        <v>12266945</v>
      </c>
    </row>
    <row r="35" spans="1:11">
      <c r="A35" t="s">
        <v>20</v>
      </c>
      <c r="B35" t="s">
        <v>21</v>
      </c>
      <c r="C35" t="s">
        <v>75</v>
      </c>
      <c r="D35" t="s">
        <v>84</v>
      </c>
      <c r="E35" t="s">
        <v>85</v>
      </c>
      <c r="F35" s="2">
        <v>209</v>
      </c>
      <c r="G35" s="2">
        <v>239832</v>
      </c>
      <c r="H35" s="2">
        <v>343</v>
      </c>
      <c r="I35" s="2">
        <v>3182018</v>
      </c>
      <c r="J35" s="2">
        <v>511</v>
      </c>
      <c r="K35" s="2">
        <v>10388232</v>
      </c>
    </row>
    <row r="36" spans="1:11">
      <c r="A36" t="s">
        <v>20</v>
      </c>
      <c r="B36" t="s">
        <v>21</v>
      </c>
      <c r="C36" t="s">
        <v>75</v>
      </c>
      <c r="D36" t="s">
        <v>86</v>
      </c>
      <c r="E36" t="s">
        <v>87</v>
      </c>
      <c r="F36" s="2">
        <v>22</v>
      </c>
      <c r="G36" s="2">
        <v>4288</v>
      </c>
      <c r="H36" s="2">
        <v>372</v>
      </c>
      <c r="I36" s="2">
        <v>435040</v>
      </c>
      <c r="J36" s="2">
        <v>514</v>
      </c>
      <c r="K36" s="2">
        <v>1425115</v>
      </c>
    </row>
    <row r="37" spans="1:11">
      <c r="A37" t="s">
        <v>20</v>
      </c>
      <c r="B37" t="s">
        <v>21</v>
      </c>
      <c r="C37" t="s">
        <v>75</v>
      </c>
      <c r="D37" t="s">
        <v>88</v>
      </c>
      <c r="E37" t="s">
        <v>89</v>
      </c>
      <c r="F37" s="2">
        <v>633</v>
      </c>
      <c r="G37" s="2">
        <v>672716</v>
      </c>
      <c r="H37" s="2">
        <v>1016</v>
      </c>
      <c r="I37" s="2">
        <v>8778742</v>
      </c>
      <c r="J37" s="2">
        <v>1847</v>
      </c>
      <c r="K37" s="2">
        <v>28606560</v>
      </c>
    </row>
    <row r="38" spans="1:11">
      <c r="A38" t="s">
        <v>20</v>
      </c>
      <c r="B38" t="s">
        <v>21</v>
      </c>
      <c r="C38" t="s">
        <v>75</v>
      </c>
      <c r="D38" t="s">
        <v>90</v>
      </c>
      <c r="E38" t="s">
        <v>91</v>
      </c>
      <c r="F38" s="2">
        <v>675</v>
      </c>
      <c r="G38" s="2">
        <v>502594</v>
      </c>
      <c r="H38" s="2">
        <v>1092</v>
      </c>
      <c r="I38" s="2">
        <v>5988489</v>
      </c>
      <c r="J38" s="2">
        <v>1746</v>
      </c>
      <c r="K38" s="2">
        <v>18823060</v>
      </c>
    </row>
    <row r="39" spans="1:11">
      <c r="A39" t="s">
        <v>20</v>
      </c>
      <c r="B39" t="s">
        <v>21</v>
      </c>
      <c r="C39" t="s">
        <v>75</v>
      </c>
      <c r="D39" t="s">
        <v>92</v>
      </c>
      <c r="E39" t="s">
        <v>93</v>
      </c>
      <c r="F39" s="2">
        <v>485</v>
      </c>
      <c r="G39" s="2">
        <v>324692</v>
      </c>
      <c r="H39" s="2">
        <v>829</v>
      </c>
      <c r="I39" s="2">
        <v>4427150</v>
      </c>
      <c r="J39" s="2">
        <v>1314</v>
      </c>
      <c r="K39" s="2">
        <v>15922705</v>
      </c>
    </row>
    <row r="40" spans="1:11">
      <c r="A40" t="s">
        <v>20</v>
      </c>
      <c r="B40" t="s">
        <v>21</v>
      </c>
      <c r="C40" t="s">
        <v>75</v>
      </c>
      <c r="D40" t="s">
        <v>94</v>
      </c>
      <c r="E40" t="s">
        <v>95</v>
      </c>
      <c r="F40" s="2">
        <v>356</v>
      </c>
      <c r="G40" s="2">
        <v>1114292</v>
      </c>
      <c r="H40" s="2">
        <v>706</v>
      </c>
      <c r="I40" s="2">
        <v>11592188</v>
      </c>
      <c r="J40" s="2">
        <v>1270</v>
      </c>
      <c r="K40" s="2">
        <v>35840953</v>
      </c>
    </row>
    <row r="41" spans="1:11">
      <c r="A41" t="s">
        <v>20</v>
      </c>
      <c r="B41" t="s">
        <v>21</v>
      </c>
      <c r="C41" t="s">
        <v>75</v>
      </c>
      <c r="D41" t="s">
        <v>96</v>
      </c>
      <c r="E41" t="s">
        <v>97</v>
      </c>
      <c r="F41" s="2">
        <v>152</v>
      </c>
      <c r="G41" s="2">
        <v>205902</v>
      </c>
      <c r="H41" s="2">
        <v>241</v>
      </c>
      <c r="I41" s="2">
        <v>2569160</v>
      </c>
      <c r="J41" s="2">
        <v>421</v>
      </c>
      <c r="K41" s="2">
        <v>8851123</v>
      </c>
    </row>
    <row r="42" spans="1:11">
      <c r="A42" t="s">
        <v>20</v>
      </c>
      <c r="B42" t="s">
        <v>21</v>
      </c>
      <c r="C42" t="s">
        <v>75</v>
      </c>
      <c r="D42" t="s">
        <v>98</v>
      </c>
      <c r="E42" t="s">
        <v>99</v>
      </c>
      <c r="F42" s="2">
        <v>289</v>
      </c>
      <c r="G42" s="2">
        <v>248922</v>
      </c>
      <c r="H42" s="2">
        <v>427</v>
      </c>
      <c r="I42" s="2">
        <v>2954230</v>
      </c>
      <c r="J42" s="2">
        <v>648</v>
      </c>
      <c r="K42" s="2">
        <v>10269342</v>
      </c>
    </row>
    <row r="43" spans="1:11">
      <c r="A43" t="s">
        <v>20</v>
      </c>
      <c r="B43" t="s">
        <v>21</v>
      </c>
      <c r="C43" t="s">
        <v>75</v>
      </c>
      <c r="D43" t="s">
        <v>100</v>
      </c>
      <c r="E43" t="s">
        <v>101</v>
      </c>
      <c r="F43" s="2">
        <v>412</v>
      </c>
      <c r="G43" s="2">
        <v>253860</v>
      </c>
      <c r="H43" s="2">
        <v>695</v>
      </c>
      <c r="I43" s="2">
        <v>3117720</v>
      </c>
      <c r="J43" s="2">
        <v>1305</v>
      </c>
      <c r="K43" s="2">
        <v>9510380</v>
      </c>
    </row>
    <row r="44" spans="1:11">
      <c r="A44" t="s">
        <v>20</v>
      </c>
      <c r="B44" t="s">
        <v>21</v>
      </c>
      <c r="C44" t="s">
        <v>75</v>
      </c>
      <c r="D44" t="s">
        <v>102</v>
      </c>
      <c r="E44" t="s">
        <v>103</v>
      </c>
      <c r="F44" s="2">
        <v>15</v>
      </c>
      <c r="G44" s="2">
        <v>6567</v>
      </c>
      <c r="H44" s="2">
        <v>55</v>
      </c>
      <c r="I44" s="2">
        <v>127353</v>
      </c>
      <c r="J44" s="2">
        <v>118</v>
      </c>
      <c r="K44" s="2">
        <v>448002</v>
      </c>
    </row>
    <row r="45" spans="1:11">
      <c r="A45" t="s">
        <v>20</v>
      </c>
      <c r="B45" t="s">
        <v>21</v>
      </c>
      <c r="C45" t="s">
        <v>75</v>
      </c>
      <c r="D45" t="s">
        <v>104</v>
      </c>
      <c r="E45" t="s">
        <v>105</v>
      </c>
      <c r="F45" s="2">
        <v>409</v>
      </c>
      <c r="G45" s="2">
        <v>742519</v>
      </c>
      <c r="H45" s="2">
        <v>643</v>
      </c>
      <c r="I45" s="2">
        <v>10075467</v>
      </c>
      <c r="J45" s="2">
        <v>1027</v>
      </c>
      <c r="K45" s="2">
        <v>31937145</v>
      </c>
    </row>
    <row r="46" spans="1:11">
      <c r="A46" t="s">
        <v>20</v>
      </c>
      <c r="B46" t="s">
        <v>21</v>
      </c>
      <c r="C46" t="s">
        <v>75</v>
      </c>
      <c r="D46" t="s">
        <v>106</v>
      </c>
      <c r="E46" t="s">
        <v>107</v>
      </c>
      <c r="F46" s="2">
        <v>242</v>
      </c>
      <c r="G46" s="2">
        <v>201962</v>
      </c>
      <c r="H46" s="2">
        <v>549</v>
      </c>
      <c r="I46" s="2">
        <v>2696885</v>
      </c>
      <c r="J46" s="2">
        <v>778</v>
      </c>
      <c r="K46" s="2">
        <v>8591451</v>
      </c>
    </row>
    <row r="47" spans="1:11">
      <c r="A47" t="s">
        <v>20</v>
      </c>
      <c r="B47" t="s">
        <v>21</v>
      </c>
      <c r="C47" t="s">
        <v>75</v>
      </c>
      <c r="D47" t="s">
        <v>108</v>
      </c>
      <c r="E47" t="s">
        <v>109</v>
      </c>
      <c r="F47" s="2">
        <v>670</v>
      </c>
      <c r="G47" s="2">
        <v>463131</v>
      </c>
      <c r="H47" s="2">
        <v>1042</v>
      </c>
      <c r="I47" s="2">
        <v>6493693</v>
      </c>
      <c r="J47" s="2">
        <v>1685</v>
      </c>
      <c r="K47" s="2">
        <v>21255380</v>
      </c>
    </row>
    <row r="48" spans="1:11">
      <c r="A48" t="s">
        <v>20</v>
      </c>
      <c r="B48" t="s">
        <v>21</v>
      </c>
      <c r="C48" t="s">
        <v>75</v>
      </c>
      <c r="D48" t="s">
        <v>110</v>
      </c>
      <c r="E48" t="s">
        <v>111</v>
      </c>
      <c r="F48" s="2">
        <v>216</v>
      </c>
      <c r="G48" s="2">
        <v>376171</v>
      </c>
      <c r="H48" s="2">
        <v>423</v>
      </c>
      <c r="I48" s="2">
        <v>4155485</v>
      </c>
      <c r="J48" s="2">
        <v>631</v>
      </c>
      <c r="K48" s="2">
        <v>13261351</v>
      </c>
    </row>
    <row r="49" spans="1:11">
      <c r="A49" t="s">
        <v>20</v>
      </c>
      <c r="B49" t="s">
        <v>21</v>
      </c>
      <c r="C49" t="s">
        <v>75</v>
      </c>
      <c r="D49" t="s">
        <v>112</v>
      </c>
      <c r="E49" t="s">
        <v>113</v>
      </c>
      <c r="F49" s="2">
        <v>271</v>
      </c>
      <c r="G49" s="2">
        <v>874136</v>
      </c>
      <c r="H49" s="2">
        <v>541</v>
      </c>
      <c r="I49" s="2">
        <v>10717606</v>
      </c>
      <c r="J49" s="2">
        <v>981</v>
      </c>
      <c r="K49" s="2">
        <v>34341920</v>
      </c>
    </row>
    <row r="50" spans="1:11">
      <c r="A50" t="s">
        <v>20</v>
      </c>
      <c r="B50" t="s">
        <v>21</v>
      </c>
      <c r="C50" t="s">
        <v>75</v>
      </c>
      <c r="D50" t="s">
        <v>114</v>
      </c>
      <c r="E50" t="s">
        <v>115</v>
      </c>
      <c r="F50" s="2">
        <v>113</v>
      </c>
      <c r="G50" s="2">
        <v>53051</v>
      </c>
      <c r="H50" s="2">
        <v>186</v>
      </c>
      <c r="I50" s="2">
        <v>905805</v>
      </c>
      <c r="J50" s="2">
        <v>279</v>
      </c>
      <c r="K50" s="2">
        <v>3063751</v>
      </c>
    </row>
    <row r="51" spans="1:11">
      <c r="A51" t="s">
        <v>20</v>
      </c>
      <c r="B51" t="s">
        <v>21</v>
      </c>
      <c r="C51" t="s">
        <v>75</v>
      </c>
      <c r="D51" t="s">
        <v>116</v>
      </c>
      <c r="E51" t="s">
        <v>117</v>
      </c>
      <c r="F51" s="2">
        <v>339</v>
      </c>
      <c r="G51" s="2">
        <v>390516</v>
      </c>
      <c r="H51" s="2">
        <v>453</v>
      </c>
      <c r="I51" s="2">
        <v>5011813</v>
      </c>
      <c r="J51" s="2">
        <v>653</v>
      </c>
      <c r="K51" s="2">
        <v>15940794</v>
      </c>
    </row>
    <row r="52" spans="1:11">
      <c r="A52" t="s">
        <v>20</v>
      </c>
      <c r="B52" t="s">
        <v>21</v>
      </c>
      <c r="C52" t="s">
        <v>75</v>
      </c>
      <c r="D52" t="s">
        <v>118</v>
      </c>
      <c r="E52" t="s">
        <v>119</v>
      </c>
      <c r="F52" s="2">
        <v>175</v>
      </c>
      <c r="G52" s="2">
        <v>727446</v>
      </c>
      <c r="H52" s="2">
        <v>235</v>
      </c>
      <c r="I52" s="2">
        <v>8382779</v>
      </c>
      <c r="J52" s="2">
        <v>355</v>
      </c>
      <c r="K52" s="2">
        <v>26021642</v>
      </c>
    </row>
    <row r="53" spans="1:11">
      <c r="A53" t="s">
        <v>20</v>
      </c>
      <c r="B53" t="s">
        <v>21</v>
      </c>
      <c r="C53" t="s">
        <v>75</v>
      </c>
      <c r="D53" t="s">
        <v>120</v>
      </c>
      <c r="E53" t="s">
        <v>121</v>
      </c>
      <c r="F53" s="2">
        <v>187</v>
      </c>
      <c r="G53" s="2">
        <v>2591002</v>
      </c>
      <c r="H53" s="2">
        <v>570</v>
      </c>
      <c r="I53" s="2">
        <v>31773242</v>
      </c>
      <c r="J53" s="2">
        <v>991</v>
      </c>
      <c r="K53" s="2">
        <v>97449154</v>
      </c>
    </row>
    <row r="54" spans="1:11">
      <c r="A54" t="s">
        <v>20</v>
      </c>
      <c r="B54" t="s">
        <v>21</v>
      </c>
      <c r="C54" t="s">
        <v>75</v>
      </c>
      <c r="D54" t="s">
        <v>122</v>
      </c>
      <c r="E54" t="s">
        <v>123</v>
      </c>
      <c r="F54" s="2">
        <v>326</v>
      </c>
      <c r="G54" s="2">
        <v>1330384</v>
      </c>
      <c r="H54" s="2">
        <v>486</v>
      </c>
      <c r="I54" s="2">
        <v>16431445</v>
      </c>
      <c r="J54" s="2">
        <v>792</v>
      </c>
      <c r="K54" s="2">
        <v>52790657</v>
      </c>
    </row>
    <row r="55" spans="1:11">
      <c r="A55" t="s">
        <v>20</v>
      </c>
      <c r="B55" t="s">
        <v>21</v>
      </c>
      <c r="C55" t="s">
        <v>75</v>
      </c>
      <c r="D55" t="s">
        <v>124</v>
      </c>
      <c r="E55" t="s">
        <v>125</v>
      </c>
      <c r="F55" s="2">
        <v>425</v>
      </c>
      <c r="G55" s="2">
        <v>1469719</v>
      </c>
      <c r="H55" s="2">
        <v>576</v>
      </c>
      <c r="I55" s="2">
        <v>19949339</v>
      </c>
      <c r="J55" s="2">
        <v>866</v>
      </c>
      <c r="K55" s="2">
        <v>65327593</v>
      </c>
    </row>
    <row r="56" spans="1:11">
      <c r="A56" t="s">
        <v>20</v>
      </c>
      <c r="B56" t="s">
        <v>21</v>
      </c>
      <c r="C56" t="s">
        <v>75</v>
      </c>
      <c r="D56" t="s">
        <v>126</v>
      </c>
      <c r="E56" t="s">
        <v>127</v>
      </c>
      <c r="F56" s="2">
        <v>448</v>
      </c>
      <c r="G56" s="2">
        <v>327578</v>
      </c>
      <c r="H56" s="2">
        <v>683</v>
      </c>
      <c r="I56" s="2">
        <v>3955146</v>
      </c>
      <c r="J56" s="2">
        <v>1125</v>
      </c>
      <c r="K56" s="2">
        <v>13042028</v>
      </c>
    </row>
    <row r="57" spans="1:11">
      <c r="A57" t="s">
        <v>20</v>
      </c>
      <c r="B57" t="s">
        <v>21</v>
      </c>
      <c r="C57" t="s">
        <v>75</v>
      </c>
      <c r="D57" t="s">
        <v>128</v>
      </c>
      <c r="E57" t="s">
        <v>129</v>
      </c>
      <c r="F57" s="2">
        <v>450</v>
      </c>
      <c r="G57" s="2">
        <v>1215637</v>
      </c>
      <c r="H57" s="2">
        <v>596</v>
      </c>
      <c r="I57" s="2">
        <v>14794618</v>
      </c>
      <c r="J57" s="2">
        <v>923</v>
      </c>
      <c r="K57" s="2">
        <v>47670902</v>
      </c>
    </row>
    <row r="58" spans="1:11">
      <c r="A58" t="s">
        <v>20</v>
      </c>
      <c r="B58" t="s">
        <v>21</v>
      </c>
      <c r="C58" t="s">
        <v>75</v>
      </c>
      <c r="D58" t="s">
        <v>130</v>
      </c>
      <c r="E58" t="s">
        <v>131</v>
      </c>
      <c r="F58" s="2">
        <v>763</v>
      </c>
      <c r="G58" s="2">
        <v>664788</v>
      </c>
      <c r="H58" s="2">
        <v>1150</v>
      </c>
      <c r="I58" s="2">
        <v>10376244</v>
      </c>
      <c r="J58" s="2">
        <v>1767</v>
      </c>
      <c r="K58" s="2">
        <v>34095022</v>
      </c>
    </row>
    <row r="59" spans="1:11">
      <c r="A59" t="s">
        <v>20</v>
      </c>
      <c r="B59" t="s">
        <v>21</v>
      </c>
      <c r="C59" t="s">
        <v>75</v>
      </c>
      <c r="D59" t="s">
        <v>132</v>
      </c>
      <c r="E59" t="s">
        <v>133</v>
      </c>
      <c r="F59" s="2">
        <v>238</v>
      </c>
      <c r="G59" s="2">
        <v>192882</v>
      </c>
      <c r="H59" s="2">
        <v>393</v>
      </c>
      <c r="I59" s="2">
        <v>2284495</v>
      </c>
      <c r="J59" s="2">
        <v>648</v>
      </c>
      <c r="K59" s="2">
        <v>7986102</v>
      </c>
    </row>
    <row r="60" spans="1:11">
      <c r="A60" t="s">
        <v>20</v>
      </c>
      <c r="B60" t="s">
        <v>21</v>
      </c>
      <c r="C60" t="s">
        <v>75</v>
      </c>
      <c r="D60" t="s">
        <v>134</v>
      </c>
      <c r="E60" t="s">
        <v>135</v>
      </c>
      <c r="F60" s="2">
        <v>697</v>
      </c>
      <c r="G60" s="2">
        <v>711380</v>
      </c>
      <c r="H60" s="2">
        <v>1362</v>
      </c>
      <c r="I60" s="2">
        <v>11677400</v>
      </c>
      <c r="J60" s="2">
        <v>2241</v>
      </c>
      <c r="K60" s="2">
        <v>36513757</v>
      </c>
    </row>
    <row r="61" spans="1:11">
      <c r="A61" t="s">
        <v>20</v>
      </c>
      <c r="B61" t="s">
        <v>21</v>
      </c>
      <c r="C61" t="s">
        <v>75</v>
      </c>
      <c r="D61" t="s">
        <v>136</v>
      </c>
      <c r="E61" t="s">
        <v>137</v>
      </c>
      <c r="F61" s="2">
        <v>154</v>
      </c>
      <c r="G61" s="2">
        <v>890621</v>
      </c>
      <c r="H61" s="2">
        <v>315</v>
      </c>
      <c r="I61" s="2">
        <v>10589584</v>
      </c>
      <c r="J61" s="2">
        <v>526</v>
      </c>
      <c r="K61" s="2">
        <v>34399506</v>
      </c>
    </row>
    <row r="62" spans="1:11">
      <c r="A62" t="s">
        <v>20</v>
      </c>
      <c r="B62" t="s">
        <v>21</v>
      </c>
      <c r="C62" t="s">
        <v>75</v>
      </c>
      <c r="D62" t="s">
        <v>138</v>
      </c>
      <c r="E62" t="s">
        <v>139</v>
      </c>
      <c r="F62" s="2">
        <v>322</v>
      </c>
      <c r="G62" s="2">
        <v>797313</v>
      </c>
      <c r="H62" s="2">
        <v>616</v>
      </c>
      <c r="I62" s="2">
        <v>10018596</v>
      </c>
      <c r="J62" s="2">
        <v>1068</v>
      </c>
      <c r="K62" s="2">
        <v>33293378</v>
      </c>
    </row>
    <row r="63" spans="1:11">
      <c r="A63" t="s">
        <v>20</v>
      </c>
      <c r="B63" t="s">
        <v>21</v>
      </c>
      <c r="C63" t="s">
        <v>75</v>
      </c>
      <c r="D63" t="s">
        <v>140</v>
      </c>
      <c r="E63" t="s">
        <v>141</v>
      </c>
      <c r="F63" s="2">
        <v>75</v>
      </c>
      <c r="G63" s="2">
        <v>32255</v>
      </c>
      <c r="H63" s="2">
        <v>127</v>
      </c>
      <c r="I63" s="2">
        <v>754895</v>
      </c>
      <c r="J63" s="2">
        <v>223</v>
      </c>
      <c r="K63" s="2">
        <v>2133525</v>
      </c>
    </row>
    <row r="64" spans="1:11">
      <c r="A64" t="s">
        <v>20</v>
      </c>
      <c r="B64" t="s">
        <v>21</v>
      </c>
      <c r="C64" t="s">
        <v>75</v>
      </c>
      <c r="D64" t="s">
        <v>142</v>
      </c>
      <c r="E64" t="s">
        <v>143</v>
      </c>
      <c r="F64" s="2">
        <v>56</v>
      </c>
      <c r="G64" s="2">
        <v>19035</v>
      </c>
      <c r="H64" s="2">
        <v>121</v>
      </c>
      <c r="I64" s="2">
        <v>229668</v>
      </c>
      <c r="J64" s="2">
        <v>271</v>
      </c>
      <c r="K64" s="2">
        <v>949388</v>
      </c>
    </row>
    <row r="65" spans="1:11">
      <c r="A65" t="s">
        <v>20</v>
      </c>
      <c r="B65" t="s">
        <v>21</v>
      </c>
      <c r="C65" t="s">
        <v>75</v>
      </c>
      <c r="D65" t="s">
        <v>144</v>
      </c>
      <c r="E65" t="s">
        <v>145</v>
      </c>
      <c r="F65" s="2">
        <v>163</v>
      </c>
      <c r="G65" s="2">
        <v>30969</v>
      </c>
      <c r="H65" s="2">
        <v>241</v>
      </c>
      <c r="I65" s="2">
        <v>532348</v>
      </c>
      <c r="J65" s="2">
        <v>331</v>
      </c>
      <c r="K65" s="2">
        <v>1666749</v>
      </c>
    </row>
    <row r="66" spans="1:11">
      <c r="A66" t="s">
        <v>20</v>
      </c>
      <c r="B66" t="s">
        <v>21</v>
      </c>
      <c r="C66" t="s">
        <v>75</v>
      </c>
      <c r="D66" t="s">
        <v>146</v>
      </c>
      <c r="E66" t="s">
        <v>147</v>
      </c>
      <c r="F66" s="2">
        <v>35</v>
      </c>
      <c r="G66" s="2">
        <v>16460</v>
      </c>
      <c r="H66" s="2">
        <v>574</v>
      </c>
      <c r="I66" s="2">
        <v>1101893</v>
      </c>
      <c r="J66" s="2">
        <v>763</v>
      </c>
      <c r="K66" s="2">
        <v>3431561</v>
      </c>
    </row>
    <row r="67" spans="1:11">
      <c r="A67" t="s">
        <v>20</v>
      </c>
      <c r="B67" t="s">
        <v>21</v>
      </c>
      <c r="C67" t="s">
        <v>75</v>
      </c>
      <c r="D67" t="s">
        <v>148</v>
      </c>
      <c r="E67" t="s">
        <v>149</v>
      </c>
      <c r="F67" s="2">
        <v>95</v>
      </c>
      <c r="G67" s="2">
        <v>1233226</v>
      </c>
      <c r="H67" s="2">
        <v>262</v>
      </c>
      <c r="I67" s="2">
        <v>15597954</v>
      </c>
      <c r="J67" s="2">
        <v>759</v>
      </c>
      <c r="K67" s="2">
        <v>64479978</v>
      </c>
    </row>
    <row r="68" spans="1:11">
      <c r="A68" t="s">
        <v>20</v>
      </c>
      <c r="B68" t="s">
        <v>21</v>
      </c>
      <c r="C68" t="s">
        <v>75</v>
      </c>
      <c r="D68" t="s">
        <v>150</v>
      </c>
      <c r="E68" t="s">
        <v>151</v>
      </c>
      <c r="F68" s="2">
        <v>266</v>
      </c>
      <c r="G68" s="2">
        <v>2142755</v>
      </c>
      <c r="H68" s="2">
        <v>391</v>
      </c>
      <c r="I68" s="2">
        <v>25120134</v>
      </c>
      <c r="J68" s="2">
        <v>612</v>
      </c>
      <c r="K68" s="2">
        <v>71951097</v>
      </c>
    </row>
    <row r="69" spans="1:11">
      <c r="A69" t="s">
        <v>20</v>
      </c>
      <c r="B69" t="s">
        <v>21</v>
      </c>
      <c r="C69" t="s">
        <v>75</v>
      </c>
      <c r="D69" t="s">
        <v>152</v>
      </c>
      <c r="E69" t="s">
        <v>153</v>
      </c>
      <c r="F69" s="2">
        <v>29</v>
      </c>
      <c r="G69" s="2">
        <v>241898</v>
      </c>
      <c r="H69" s="2">
        <v>50</v>
      </c>
      <c r="I69" s="2">
        <v>2861684</v>
      </c>
      <c r="J69" s="2">
        <v>89</v>
      </c>
      <c r="K69" s="2">
        <v>9533891</v>
      </c>
    </row>
    <row r="70" spans="1:11">
      <c r="A70" t="s">
        <v>20</v>
      </c>
      <c r="B70" t="s">
        <v>21</v>
      </c>
      <c r="C70" t="s">
        <v>75</v>
      </c>
      <c r="D70" t="s">
        <v>154</v>
      </c>
      <c r="E70" t="s">
        <v>155</v>
      </c>
      <c r="F70" s="2">
        <v>2</v>
      </c>
      <c r="G70" s="2">
        <v>2</v>
      </c>
      <c r="H70" s="2">
        <v>84</v>
      </c>
      <c r="I70" s="2">
        <v>10028</v>
      </c>
      <c r="J70" s="2">
        <v>140</v>
      </c>
      <c r="K70" s="2">
        <v>33033</v>
      </c>
    </row>
    <row r="71" spans="1:11">
      <c r="A71" t="s">
        <v>20</v>
      </c>
      <c r="B71" t="s">
        <v>21</v>
      </c>
      <c r="C71" t="s">
        <v>75</v>
      </c>
      <c r="D71" t="s">
        <v>156</v>
      </c>
      <c r="E71" t="s">
        <v>157</v>
      </c>
      <c r="F71" s="2">
        <v>31</v>
      </c>
      <c r="G71" s="2">
        <v>459</v>
      </c>
      <c r="H71" s="2">
        <v>53</v>
      </c>
      <c r="I71" s="2">
        <v>9389</v>
      </c>
      <c r="J71" s="2">
        <v>98</v>
      </c>
      <c r="K71" s="2">
        <v>31289</v>
      </c>
    </row>
    <row r="72" spans="1:11">
      <c r="A72" t="s">
        <v>20</v>
      </c>
      <c r="B72" t="s">
        <v>21</v>
      </c>
      <c r="C72" t="s">
        <v>75</v>
      </c>
      <c r="D72" t="s">
        <v>158</v>
      </c>
      <c r="E72" t="s">
        <v>159</v>
      </c>
      <c r="F72" s="2">
        <v>126</v>
      </c>
      <c r="G72" s="2">
        <v>74887</v>
      </c>
      <c r="H72" s="2">
        <v>358</v>
      </c>
      <c r="I72" s="2">
        <v>754719</v>
      </c>
      <c r="J72" s="2">
        <v>648</v>
      </c>
      <c r="K72" s="2">
        <v>2468080</v>
      </c>
    </row>
    <row r="73" spans="1:11">
      <c r="A73" t="s">
        <v>20</v>
      </c>
      <c r="B73" t="s">
        <v>21</v>
      </c>
      <c r="C73" t="s">
        <v>75</v>
      </c>
      <c r="D73" t="s">
        <v>160</v>
      </c>
      <c r="E73" t="s">
        <v>161</v>
      </c>
      <c r="F73" s="2">
        <v>10</v>
      </c>
      <c r="G73" s="2">
        <v>806</v>
      </c>
      <c r="H73" s="2">
        <v>18</v>
      </c>
      <c r="I73" s="2">
        <v>7391</v>
      </c>
      <c r="J73" s="2">
        <v>52</v>
      </c>
      <c r="K73" s="2">
        <v>26750</v>
      </c>
    </row>
    <row r="74" spans="1:11">
      <c r="A74" t="s">
        <v>20</v>
      </c>
      <c r="B74" t="s">
        <v>21</v>
      </c>
      <c r="C74" t="s">
        <v>75</v>
      </c>
      <c r="D74" t="s">
        <v>162</v>
      </c>
      <c r="E74" t="s">
        <v>163</v>
      </c>
      <c r="F74" s="2">
        <v>1</v>
      </c>
      <c r="G74" s="2">
        <v>5</v>
      </c>
      <c r="H74" s="2">
        <v>1</v>
      </c>
      <c r="I74" s="2">
        <v>119</v>
      </c>
      <c r="J74" s="2">
        <v>1</v>
      </c>
      <c r="K74" s="2">
        <v>553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4"/>
  <sheetViews>
    <sheetView workbookViewId="0">
      <pane xSplit="2" ySplit="4" topLeftCell="C5" activePane="bottomRight" state="frozen"/>
      <selection pane="bottomRight" activeCell="B10" sqref="B10"/>
      <selection pane="bottomLeft" activeCell="A5" sqref="A5"/>
      <selection pane="topRight" activeCell="F1" sqref="F1"/>
    </sheetView>
  </sheetViews>
  <sheetFormatPr defaultRowHeight="18.75"/>
  <cols>
    <col min="1" max="1" width="28" bestFit="1" customWidth="1"/>
    <col min="2" max="2" width="28.125" bestFit="1" customWidth="1"/>
    <col min="3" max="3" width="14.75" style="2" bestFit="1" customWidth="1"/>
    <col min="4" max="4" width="17.25" style="2" bestFit="1" customWidth="1"/>
    <col min="5" max="5" width="18.875" style="2" bestFit="1" customWidth="1"/>
    <col min="6" max="6" width="21.375" style="2" bestFit="1" customWidth="1"/>
    <col min="7" max="7" width="18.875" style="2" bestFit="1" customWidth="1"/>
    <col min="8" max="8" width="21.375" style="2" bestFit="1" customWidth="1"/>
  </cols>
  <sheetData>
    <row r="1" spans="1:8">
      <c r="B1" s="1" t="s">
        <v>13</v>
      </c>
      <c r="C1" s="2">
        <f t="shared" ref="C1:H1" si="0">SUM(C5:C64)</f>
        <v>955053</v>
      </c>
      <c r="D1" s="2">
        <f t="shared" si="0"/>
        <v>348221417</v>
      </c>
      <c r="E1" s="2">
        <f t="shared" si="0"/>
        <v>2108566</v>
      </c>
      <c r="F1" s="2">
        <f t="shared" si="0"/>
        <v>4253847829</v>
      </c>
      <c r="G1" s="2">
        <f t="shared" si="0"/>
        <v>4245704</v>
      </c>
      <c r="H1" s="2">
        <f t="shared" si="0"/>
        <v>13341089655</v>
      </c>
    </row>
    <row r="3" spans="1:8">
      <c r="C3" s="9" t="s">
        <v>230</v>
      </c>
      <c r="D3" s="9"/>
      <c r="E3" s="10" t="s">
        <v>231</v>
      </c>
      <c r="F3" s="10"/>
      <c r="G3" s="11" t="s">
        <v>232</v>
      </c>
      <c r="H3" s="11"/>
    </row>
    <row r="4" spans="1:8">
      <c r="A4" t="s">
        <v>14</v>
      </c>
      <c r="B4" t="s">
        <v>15</v>
      </c>
      <c r="C4" s="9" t="s">
        <v>233</v>
      </c>
      <c r="D4" s="9" t="s">
        <v>234</v>
      </c>
      <c r="E4" s="10" t="s">
        <v>233</v>
      </c>
      <c r="F4" s="10" t="s">
        <v>234</v>
      </c>
      <c r="G4" s="11" t="s">
        <v>233</v>
      </c>
      <c r="H4" s="11" t="s">
        <v>234</v>
      </c>
    </row>
    <row r="5" spans="1:8">
      <c r="A5" t="s">
        <v>164</v>
      </c>
      <c r="B5" t="s">
        <v>165</v>
      </c>
      <c r="C5" s="2">
        <v>7391</v>
      </c>
      <c r="D5" s="2">
        <v>820528</v>
      </c>
      <c r="E5" s="2">
        <v>14641</v>
      </c>
      <c r="F5" s="2">
        <v>10384011</v>
      </c>
      <c r="G5" s="2">
        <v>28632</v>
      </c>
      <c r="H5" s="2">
        <v>34711431</v>
      </c>
    </row>
    <row r="6" spans="1:8">
      <c r="A6" t="s">
        <v>164</v>
      </c>
      <c r="B6" t="s">
        <v>166</v>
      </c>
      <c r="C6" s="2">
        <v>74917</v>
      </c>
      <c r="D6" s="2">
        <v>3093410</v>
      </c>
      <c r="E6" s="2">
        <v>171952</v>
      </c>
      <c r="F6" s="2">
        <v>37775370</v>
      </c>
      <c r="G6" s="2">
        <v>316815</v>
      </c>
      <c r="H6" s="2">
        <v>103483459</v>
      </c>
    </row>
    <row r="7" spans="1:8">
      <c r="A7" t="s">
        <v>164</v>
      </c>
      <c r="B7" t="s">
        <v>167</v>
      </c>
      <c r="C7" s="2">
        <v>14162</v>
      </c>
      <c r="D7" s="2">
        <v>1024282</v>
      </c>
      <c r="E7" s="2">
        <v>33794</v>
      </c>
      <c r="F7" s="2">
        <v>14881475</v>
      </c>
      <c r="G7" s="2">
        <v>73739</v>
      </c>
      <c r="H7" s="2">
        <v>51723764</v>
      </c>
    </row>
    <row r="8" spans="1:8">
      <c r="A8" t="s">
        <v>164</v>
      </c>
      <c r="B8" t="s">
        <v>168</v>
      </c>
      <c r="C8" s="2">
        <v>20587</v>
      </c>
      <c r="D8" s="2">
        <v>1150544</v>
      </c>
      <c r="E8" s="2">
        <v>43486</v>
      </c>
      <c r="F8" s="2">
        <v>14505163</v>
      </c>
      <c r="G8" s="2">
        <v>86264</v>
      </c>
      <c r="H8" s="2">
        <v>48057147</v>
      </c>
    </row>
    <row r="9" spans="1:8">
      <c r="A9" t="s">
        <v>164</v>
      </c>
      <c r="B9" t="s">
        <v>169</v>
      </c>
      <c r="C9" s="2">
        <v>5038</v>
      </c>
      <c r="D9" s="2">
        <v>313298</v>
      </c>
      <c r="E9" s="2">
        <v>9957</v>
      </c>
      <c r="F9" s="2">
        <v>3977206</v>
      </c>
      <c r="G9" s="2">
        <v>18771</v>
      </c>
      <c r="H9" s="2">
        <v>12168164</v>
      </c>
    </row>
    <row r="10" spans="1:8">
      <c r="A10" t="s">
        <v>164</v>
      </c>
      <c r="B10" t="s">
        <v>170</v>
      </c>
      <c r="C10" s="2">
        <v>13358</v>
      </c>
      <c r="D10" s="2">
        <v>728060</v>
      </c>
      <c r="E10" s="2">
        <v>32346</v>
      </c>
      <c r="F10" s="2">
        <v>10866545</v>
      </c>
      <c r="G10" s="2">
        <v>70892</v>
      </c>
      <c r="H10" s="2">
        <v>33018895</v>
      </c>
    </row>
    <row r="11" spans="1:8">
      <c r="A11" t="s">
        <v>164</v>
      </c>
      <c r="B11" t="s">
        <v>171</v>
      </c>
      <c r="C11" s="2">
        <v>3945</v>
      </c>
      <c r="D11" s="2">
        <v>394082</v>
      </c>
      <c r="E11" s="2">
        <v>7928</v>
      </c>
      <c r="F11" s="2">
        <v>4844650</v>
      </c>
      <c r="G11" s="2">
        <v>15172</v>
      </c>
      <c r="H11" s="2">
        <v>14536024</v>
      </c>
    </row>
    <row r="12" spans="1:8">
      <c r="A12" t="s">
        <v>172</v>
      </c>
      <c r="B12" t="s">
        <v>173</v>
      </c>
      <c r="C12" s="2">
        <v>3324</v>
      </c>
      <c r="D12" s="2">
        <v>154843</v>
      </c>
      <c r="E12" s="2">
        <v>14589</v>
      </c>
      <c r="F12" s="2">
        <v>3403734</v>
      </c>
      <c r="G12" s="2">
        <v>28988</v>
      </c>
      <c r="H12" s="2">
        <v>9370929</v>
      </c>
    </row>
    <row r="13" spans="1:8">
      <c r="A13" t="s">
        <v>172</v>
      </c>
      <c r="B13" t="s">
        <v>174</v>
      </c>
      <c r="C13" s="2">
        <v>23</v>
      </c>
      <c r="D13" s="2">
        <v>35</v>
      </c>
      <c r="E13" s="2">
        <v>74</v>
      </c>
      <c r="F13" s="2">
        <v>1138</v>
      </c>
      <c r="G13" s="2">
        <v>74</v>
      </c>
      <c r="H13" s="2">
        <v>1254</v>
      </c>
    </row>
    <row r="14" spans="1:8">
      <c r="A14" t="s">
        <v>172</v>
      </c>
      <c r="B14" t="s">
        <v>175</v>
      </c>
      <c r="C14" s="2">
        <v>55057</v>
      </c>
      <c r="D14" s="2">
        <v>7378932</v>
      </c>
      <c r="E14" s="2">
        <v>105909</v>
      </c>
      <c r="F14" s="2">
        <v>80868327</v>
      </c>
      <c r="G14" s="2">
        <v>202193</v>
      </c>
      <c r="H14" s="2">
        <v>237877521</v>
      </c>
    </row>
    <row r="15" spans="1:8">
      <c r="A15" t="s">
        <v>172</v>
      </c>
      <c r="B15" t="s">
        <v>176</v>
      </c>
      <c r="C15" s="2">
        <v>1</v>
      </c>
      <c r="D15" s="2">
        <v>7</v>
      </c>
      <c r="E15" s="2">
        <v>2</v>
      </c>
      <c r="F15" s="2">
        <v>46</v>
      </c>
      <c r="G15" s="2">
        <v>2</v>
      </c>
      <c r="H15" s="2">
        <v>46</v>
      </c>
    </row>
    <row r="16" spans="1:8">
      <c r="A16" t="s">
        <v>172</v>
      </c>
      <c r="B16" t="s">
        <v>177</v>
      </c>
      <c r="C16" s="2">
        <v>5357</v>
      </c>
      <c r="D16" s="2">
        <v>89797</v>
      </c>
      <c r="E16" s="2">
        <v>14682</v>
      </c>
      <c r="F16" s="2">
        <v>839348</v>
      </c>
      <c r="G16" s="2">
        <v>32557</v>
      </c>
      <c r="H16" s="2">
        <v>2926817</v>
      </c>
    </row>
    <row r="17" spans="1:8">
      <c r="A17" t="s">
        <v>172</v>
      </c>
      <c r="B17" t="s">
        <v>178</v>
      </c>
      <c r="C17" s="2">
        <v>53793</v>
      </c>
      <c r="D17" s="2">
        <v>3071513</v>
      </c>
      <c r="E17" s="2">
        <v>104516</v>
      </c>
      <c r="F17" s="2">
        <v>31104479</v>
      </c>
      <c r="G17" s="2">
        <v>192024</v>
      </c>
      <c r="H17" s="2">
        <v>85366129</v>
      </c>
    </row>
    <row r="18" spans="1:8">
      <c r="A18" t="s">
        <v>172</v>
      </c>
      <c r="B18" t="s">
        <v>179</v>
      </c>
      <c r="C18" s="2">
        <v>21073</v>
      </c>
      <c r="D18" s="2">
        <v>431545</v>
      </c>
      <c r="E18" s="2">
        <v>50695</v>
      </c>
      <c r="F18" s="2">
        <v>6008550</v>
      </c>
      <c r="G18" s="2">
        <v>102075</v>
      </c>
      <c r="H18" s="2">
        <v>20214556</v>
      </c>
    </row>
    <row r="19" spans="1:8">
      <c r="A19" t="s">
        <v>172</v>
      </c>
      <c r="B19" t="s">
        <v>180</v>
      </c>
      <c r="C19" s="2">
        <v>4218</v>
      </c>
      <c r="D19" s="2">
        <v>1097286</v>
      </c>
      <c r="E19" s="2">
        <v>10914</v>
      </c>
      <c r="F19" s="2">
        <v>11669727</v>
      </c>
      <c r="G19" s="2">
        <v>25493</v>
      </c>
      <c r="H19" s="2">
        <v>29977048</v>
      </c>
    </row>
    <row r="20" spans="1:8">
      <c r="A20" t="s">
        <v>172</v>
      </c>
      <c r="B20" t="s">
        <v>181</v>
      </c>
      <c r="C20" s="2">
        <v>11577</v>
      </c>
      <c r="D20" s="2">
        <v>409311</v>
      </c>
      <c r="E20" s="2">
        <v>28327</v>
      </c>
      <c r="F20" s="2">
        <v>7228213</v>
      </c>
      <c r="G20" s="2">
        <v>55925</v>
      </c>
      <c r="H20" s="2">
        <v>24155109</v>
      </c>
    </row>
    <row r="21" spans="1:8">
      <c r="A21" t="s">
        <v>172</v>
      </c>
      <c r="B21" t="s">
        <v>182</v>
      </c>
      <c r="C21" s="2">
        <v>482</v>
      </c>
      <c r="D21" s="2">
        <v>4836</v>
      </c>
      <c r="E21" s="2">
        <v>887</v>
      </c>
      <c r="F21" s="2">
        <v>127473</v>
      </c>
      <c r="G21" s="2">
        <v>1087</v>
      </c>
      <c r="H21" s="2">
        <v>369157</v>
      </c>
    </row>
    <row r="22" spans="1:8">
      <c r="A22" t="s">
        <v>183</v>
      </c>
      <c r="B22" t="s">
        <v>184</v>
      </c>
      <c r="C22" s="2">
        <v>29176</v>
      </c>
      <c r="D22" s="2">
        <v>23868632</v>
      </c>
      <c r="E22" s="2">
        <v>58489</v>
      </c>
      <c r="F22" s="2">
        <v>295527265</v>
      </c>
      <c r="G22" s="2">
        <v>113674</v>
      </c>
      <c r="H22" s="2">
        <v>911454539</v>
      </c>
    </row>
    <row r="23" spans="1:8">
      <c r="A23" t="s">
        <v>183</v>
      </c>
      <c r="B23" t="s">
        <v>185</v>
      </c>
      <c r="C23" s="2">
        <v>10815</v>
      </c>
      <c r="D23" s="2">
        <v>4811892</v>
      </c>
      <c r="E23" s="2">
        <v>17679</v>
      </c>
      <c r="F23" s="2">
        <v>59222599</v>
      </c>
      <c r="G23" s="2">
        <v>32070</v>
      </c>
      <c r="H23" s="2">
        <v>167496132</v>
      </c>
    </row>
    <row r="24" spans="1:8">
      <c r="A24" t="s">
        <v>183</v>
      </c>
      <c r="B24" t="s">
        <v>186</v>
      </c>
      <c r="C24" s="2">
        <v>12668</v>
      </c>
      <c r="D24" s="2">
        <v>3218839</v>
      </c>
      <c r="E24" s="2">
        <v>29232</v>
      </c>
      <c r="F24" s="2">
        <v>40840200</v>
      </c>
      <c r="G24" s="2">
        <v>60603</v>
      </c>
      <c r="H24" s="2">
        <v>128832738</v>
      </c>
    </row>
    <row r="25" spans="1:8">
      <c r="A25" t="s">
        <v>187</v>
      </c>
      <c r="B25" t="s">
        <v>188</v>
      </c>
      <c r="C25" s="2">
        <v>45244</v>
      </c>
      <c r="D25" s="2">
        <v>356338</v>
      </c>
      <c r="E25" s="2">
        <v>120786</v>
      </c>
      <c r="F25" s="2">
        <v>4482248</v>
      </c>
      <c r="G25" s="2">
        <v>256540</v>
      </c>
      <c r="H25" s="2">
        <v>15322278</v>
      </c>
    </row>
    <row r="26" spans="1:8">
      <c r="A26" t="s">
        <v>187</v>
      </c>
      <c r="B26" t="s">
        <v>189</v>
      </c>
      <c r="C26" s="2">
        <v>23549</v>
      </c>
      <c r="D26" s="2">
        <v>160306</v>
      </c>
      <c r="E26" s="2">
        <v>56931</v>
      </c>
      <c r="F26" s="2">
        <v>2062439</v>
      </c>
      <c r="G26" s="2">
        <v>124453</v>
      </c>
      <c r="H26" s="2">
        <v>6898924</v>
      </c>
    </row>
    <row r="27" spans="1:8">
      <c r="A27" t="s">
        <v>187</v>
      </c>
      <c r="B27" t="s">
        <v>190</v>
      </c>
      <c r="C27" s="2">
        <v>26705</v>
      </c>
      <c r="D27" s="2">
        <v>213664</v>
      </c>
      <c r="E27" s="2">
        <v>61993</v>
      </c>
      <c r="F27" s="2">
        <v>2413082</v>
      </c>
      <c r="G27" s="2">
        <v>123830</v>
      </c>
      <c r="H27" s="2">
        <v>9431685</v>
      </c>
    </row>
    <row r="28" spans="1:8">
      <c r="A28" t="s">
        <v>187</v>
      </c>
      <c r="B28" t="s">
        <v>191</v>
      </c>
      <c r="C28" s="2">
        <v>38304</v>
      </c>
      <c r="D28" s="2">
        <v>825479</v>
      </c>
      <c r="E28" s="2">
        <v>65886</v>
      </c>
      <c r="F28" s="2">
        <v>10616613</v>
      </c>
      <c r="G28" s="2">
        <v>125485</v>
      </c>
      <c r="H28" s="2">
        <v>35163870</v>
      </c>
    </row>
    <row r="29" spans="1:8">
      <c r="A29" t="s">
        <v>187</v>
      </c>
      <c r="B29" t="s">
        <v>192</v>
      </c>
      <c r="C29" s="2">
        <v>11802</v>
      </c>
      <c r="D29" s="2">
        <v>130579</v>
      </c>
      <c r="E29" s="2">
        <v>28822</v>
      </c>
      <c r="F29" s="2">
        <v>1659504</v>
      </c>
      <c r="G29" s="2">
        <v>65858</v>
      </c>
      <c r="H29" s="2">
        <v>6315019</v>
      </c>
    </row>
    <row r="30" spans="1:8">
      <c r="A30" t="s">
        <v>187</v>
      </c>
      <c r="B30" t="s">
        <v>193</v>
      </c>
      <c r="C30" s="2">
        <v>20726</v>
      </c>
      <c r="D30" s="2">
        <v>1199507</v>
      </c>
      <c r="E30" s="2">
        <v>39372</v>
      </c>
      <c r="F30" s="2">
        <v>15491187</v>
      </c>
      <c r="G30" s="2">
        <v>85961</v>
      </c>
      <c r="H30" s="2">
        <v>51016512</v>
      </c>
    </row>
    <row r="31" spans="1:8">
      <c r="A31" t="s">
        <v>187</v>
      </c>
      <c r="B31" t="s">
        <v>194</v>
      </c>
      <c r="C31" s="2">
        <v>34282</v>
      </c>
      <c r="D31" s="2">
        <v>944739</v>
      </c>
      <c r="E31" s="2">
        <v>79853</v>
      </c>
      <c r="F31" s="2">
        <v>10851665</v>
      </c>
      <c r="G31" s="2">
        <v>164015</v>
      </c>
      <c r="H31" s="2">
        <v>32777528</v>
      </c>
    </row>
    <row r="32" spans="1:8">
      <c r="A32" t="s">
        <v>187</v>
      </c>
      <c r="B32" t="s">
        <v>195</v>
      </c>
      <c r="C32" s="2">
        <v>57880</v>
      </c>
      <c r="D32" s="2">
        <v>1020366</v>
      </c>
      <c r="E32" s="2">
        <v>136369</v>
      </c>
      <c r="F32" s="2">
        <v>12995143</v>
      </c>
      <c r="G32" s="2">
        <v>309242</v>
      </c>
      <c r="H32" s="2">
        <v>39867564</v>
      </c>
    </row>
    <row r="33" spans="1:8">
      <c r="A33" t="s">
        <v>187</v>
      </c>
      <c r="B33" t="s">
        <v>196</v>
      </c>
      <c r="C33" s="2">
        <v>50076</v>
      </c>
      <c r="D33" s="2">
        <v>2507497</v>
      </c>
      <c r="E33" s="2">
        <v>169398</v>
      </c>
      <c r="F33" s="2">
        <v>32354718</v>
      </c>
      <c r="G33" s="2">
        <v>399237</v>
      </c>
      <c r="H33" s="2">
        <v>100390630</v>
      </c>
    </row>
    <row r="34" spans="1:8">
      <c r="A34" t="s">
        <v>187</v>
      </c>
      <c r="B34" t="s">
        <v>197</v>
      </c>
      <c r="C34" s="2">
        <v>17093</v>
      </c>
      <c r="D34" s="2">
        <v>400311</v>
      </c>
      <c r="E34" s="2">
        <v>42790</v>
      </c>
      <c r="F34" s="2">
        <v>4628633</v>
      </c>
      <c r="G34" s="2">
        <v>106052</v>
      </c>
      <c r="H34" s="2">
        <v>16166907</v>
      </c>
    </row>
    <row r="35" spans="1:8">
      <c r="A35" t="s">
        <v>187</v>
      </c>
      <c r="B35" t="s">
        <v>198</v>
      </c>
      <c r="C35" s="2">
        <v>15302</v>
      </c>
      <c r="D35" s="2">
        <v>171152</v>
      </c>
      <c r="E35" s="2">
        <v>33498</v>
      </c>
      <c r="F35" s="2">
        <v>1794896</v>
      </c>
      <c r="G35" s="2">
        <v>64584</v>
      </c>
      <c r="H35" s="2">
        <v>5813807</v>
      </c>
    </row>
    <row r="36" spans="1:8">
      <c r="A36" t="s">
        <v>187</v>
      </c>
      <c r="B36" t="s">
        <v>199</v>
      </c>
      <c r="C36" s="2">
        <v>50571</v>
      </c>
      <c r="D36" s="2">
        <v>1659910</v>
      </c>
      <c r="E36" s="2">
        <v>109674</v>
      </c>
      <c r="F36" s="2">
        <v>20865289</v>
      </c>
      <c r="G36" s="2">
        <v>226132</v>
      </c>
      <c r="H36" s="2">
        <v>65528681</v>
      </c>
    </row>
    <row r="37" spans="1:8">
      <c r="A37" t="s">
        <v>200</v>
      </c>
      <c r="B37" t="s">
        <v>201</v>
      </c>
      <c r="C37" s="2">
        <v>6057</v>
      </c>
      <c r="D37" s="2">
        <v>415139</v>
      </c>
      <c r="E37" s="2">
        <v>15332</v>
      </c>
      <c r="F37" s="2">
        <v>5163239</v>
      </c>
      <c r="G37" s="2">
        <v>35492</v>
      </c>
      <c r="H37" s="2">
        <v>17619724</v>
      </c>
    </row>
    <row r="38" spans="1:8">
      <c r="A38" t="s">
        <v>200</v>
      </c>
      <c r="B38" t="s">
        <v>202</v>
      </c>
      <c r="C38" s="2">
        <v>17242</v>
      </c>
      <c r="D38" s="2">
        <v>3022602</v>
      </c>
      <c r="E38" s="2">
        <v>27206</v>
      </c>
      <c r="F38" s="2">
        <v>36594398</v>
      </c>
      <c r="G38" s="2">
        <v>43714</v>
      </c>
      <c r="H38" s="2">
        <v>111052844</v>
      </c>
    </row>
    <row r="39" spans="1:8">
      <c r="A39" t="s">
        <v>200</v>
      </c>
      <c r="B39" t="s">
        <v>203</v>
      </c>
      <c r="C39" s="2">
        <v>36011</v>
      </c>
      <c r="D39" s="2">
        <v>2776765</v>
      </c>
      <c r="E39" s="2">
        <v>58886</v>
      </c>
      <c r="F39" s="2">
        <v>32787536</v>
      </c>
      <c r="G39" s="2">
        <v>95446</v>
      </c>
      <c r="H39" s="2">
        <v>89735429</v>
      </c>
    </row>
    <row r="40" spans="1:8">
      <c r="A40" t="s">
        <v>200</v>
      </c>
      <c r="B40" t="s">
        <v>204</v>
      </c>
      <c r="C40" s="2">
        <v>10124</v>
      </c>
      <c r="D40" s="2">
        <v>5249954</v>
      </c>
      <c r="E40" s="2">
        <v>18337</v>
      </c>
      <c r="F40" s="2">
        <v>62986588</v>
      </c>
      <c r="G40" s="2">
        <v>32590</v>
      </c>
      <c r="H40" s="2">
        <v>183123266</v>
      </c>
    </row>
    <row r="41" spans="1:8">
      <c r="A41" t="s">
        <v>200</v>
      </c>
      <c r="B41" t="s">
        <v>205</v>
      </c>
      <c r="C41" s="2">
        <v>661</v>
      </c>
      <c r="D41" s="2">
        <v>148789</v>
      </c>
      <c r="E41" s="2">
        <v>1476</v>
      </c>
      <c r="F41" s="2">
        <v>1763641</v>
      </c>
      <c r="G41" s="2">
        <v>3893</v>
      </c>
      <c r="H41" s="2">
        <v>5385868</v>
      </c>
    </row>
    <row r="42" spans="1:8">
      <c r="A42" t="s">
        <v>20</v>
      </c>
      <c r="B42" t="s">
        <v>206</v>
      </c>
      <c r="C42" s="2">
        <v>29982</v>
      </c>
      <c r="D42" s="2">
        <v>56194063</v>
      </c>
      <c r="E42" s="2">
        <v>58073</v>
      </c>
      <c r="F42" s="2">
        <v>690385677</v>
      </c>
      <c r="G42" s="2">
        <v>106476</v>
      </c>
      <c r="H42" s="2">
        <v>2175768535</v>
      </c>
    </row>
    <row r="43" spans="1:8">
      <c r="A43" t="s">
        <v>20</v>
      </c>
      <c r="B43" t="s">
        <v>21</v>
      </c>
      <c r="C43" s="2">
        <v>28060</v>
      </c>
      <c r="D43" s="2">
        <v>73894217</v>
      </c>
      <c r="E43" s="2">
        <v>59295</v>
      </c>
      <c r="F43" s="2">
        <v>907887591</v>
      </c>
      <c r="G43" s="2">
        <v>115182</v>
      </c>
      <c r="H43" s="2">
        <v>2913328610</v>
      </c>
    </row>
    <row r="44" spans="1:8">
      <c r="A44" t="s">
        <v>20</v>
      </c>
      <c r="B44" t="s">
        <v>207</v>
      </c>
      <c r="C44" s="2">
        <v>13668</v>
      </c>
      <c r="D44" s="2">
        <v>10455941</v>
      </c>
      <c r="E44" s="2">
        <v>24228</v>
      </c>
      <c r="F44" s="2">
        <v>131771185</v>
      </c>
      <c r="G44" s="2">
        <v>37425</v>
      </c>
      <c r="H44" s="2">
        <v>422172389</v>
      </c>
    </row>
    <row r="45" spans="1:8">
      <c r="A45" t="s">
        <v>20</v>
      </c>
      <c r="B45" t="s">
        <v>208</v>
      </c>
      <c r="C45" s="2">
        <v>29599</v>
      </c>
      <c r="D45" s="2">
        <v>49285352</v>
      </c>
      <c r="E45" s="2">
        <v>58436</v>
      </c>
      <c r="F45" s="2">
        <v>591149265</v>
      </c>
      <c r="G45" s="2">
        <v>115360</v>
      </c>
      <c r="H45" s="2">
        <v>1808399304</v>
      </c>
    </row>
    <row r="46" spans="1:8">
      <c r="A46" t="s">
        <v>209</v>
      </c>
      <c r="B46" t="s">
        <v>210</v>
      </c>
      <c r="C46" s="2">
        <v>6031</v>
      </c>
      <c r="D46" s="2">
        <v>8385592</v>
      </c>
      <c r="E46" s="2">
        <v>12670</v>
      </c>
      <c r="F46" s="2">
        <v>98856366</v>
      </c>
      <c r="G46" s="2">
        <v>25025</v>
      </c>
      <c r="H46" s="2">
        <v>288949675</v>
      </c>
    </row>
    <row r="47" spans="1:8">
      <c r="A47" t="s">
        <v>209</v>
      </c>
      <c r="B47" t="s">
        <v>211</v>
      </c>
      <c r="C47" s="2">
        <v>9636</v>
      </c>
      <c r="D47" s="2">
        <v>15057241</v>
      </c>
      <c r="E47" s="2">
        <v>15242</v>
      </c>
      <c r="F47" s="2">
        <v>184514806</v>
      </c>
      <c r="G47" s="2">
        <v>22689</v>
      </c>
      <c r="H47" s="2">
        <v>593456050</v>
      </c>
    </row>
    <row r="48" spans="1:8">
      <c r="A48" t="s">
        <v>209</v>
      </c>
      <c r="B48" t="s">
        <v>212</v>
      </c>
      <c r="C48" s="2">
        <v>14181</v>
      </c>
      <c r="D48" s="2">
        <v>32710116</v>
      </c>
      <c r="E48" s="2">
        <v>34944</v>
      </c>
      <c r="F48" s="2">
        <v>398104452</v>
      </c>
      <c r="G48" s="2">
        <v>53458</v>
      </c>
      <c r="H48" s="2">
        <v>1284839563</v>
      </c>
    </row>
    <row r="49" spans="1:8">
      <c r="A49" t="s">
        <v>209</v>
      </c>
      <c r="B49" t="s">
        <v>213</v>
      </c>
      <c r="C49" s="2">
        <v>10115</v>
      </c>
      <c r="D49" s="2">
        <v>6464214</v>
      </c>
      <c r="E49" s="2">
        <v>19003</v>
      </c>
      <c r="F49" s="2">
        <v>78761327</v>
      </c>
      <c r="G49" s="2">
        <v>32422</v>
      </c>
      <c r="H49" s="2">
        <v>255606654</v>
      </c>
    </row>
    <row r="50" spans="1:8">
      <c r="A50" t="s">
        <v>214</v>
      </c>
      <c r="B50" t="s">
        <v>215</v>
      </c>
      <c r="C50" s="2">
        <v>0</v>
      </c>
      <c r="D50" s="2">
        <v>0</v>
      </c>
      <c r="E50" s="2">
        <v>2</v>
      </c>
      <c r="F50" s="2">
        <v>2</v>
      </c>
      <c r="G50" s="2">
        <v>5</v>
      </c>
      <c r="H50" s="2">
        <v>16</v>
      </c>
    </row>
    <row r="51" spans="1:8">
      <c r="A51" t="s">
        <v>214</v>
      </c>
      <c r="B51" t="s">
        <v>216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4</v>
      </c>
    </row>
    <row r="52" spans="1:8">
      <c r="A52" t="s">
        <v>214</v>
      </c>
      <c r="B52" t="s">
        <v>217</v>
      </c>
      <c r="C52" s="2">
        <v>101</v>
      </c>
      <c r="D52" s="2">
        <v>328</v>
      </c>
      <c r="E52" s="2">
        <v>567</v>
      </c>
      <c r="F52" s="2">
        <v>9663</v>
      </c>
      <c r="G52" s="2">
        <v>2413</v>
      </c>
      <c r="H52" s="2">
        <v>53711</v>
      </c>
    </row>
    <row r="53" spans="1:8">
      <c r="A53" t="s">
        <v>214</v>
      </c>
      <c r="B53" t="s">
        <v>218</v>
      </c>
      <c r="C53" s="2">
        <v>65</v>
      </c>
      <c r="D53" s="2">
        <v>10215</v>
      </c>
      <c r="E53" s="2">
        <v>81</v>
      </c>
      <c r="F53" s="2">
        <v>119310</v>
      </c>
      <c r="G53" s="2">
        <v>95</v>
      </c>
      <c r="H53" s="2">
        <v>376187</v>
      </c>
    </row>
    <row r="54" spans="1:8">
      <c r="A54" t="s">
        <v>214</v>
      </c>
      <c r="B54" t="s">
        <v>219</v>
      </c>
      <c r="C54" s="2">
        <v>304</v>
      </c>
      <c r="D54" s="2">
        <v>113055</v>
      </c>
      <c r="E54" s="2">
        <v>1243</v>
      </c>
      <c r="F54" s="2">
        <v>1428607</v>
      </c>
      <c r="G54" s="2">
        <v>2268</v>
      </c>
      <c r="H54" s="2">
        <v>9589358</v>
      </c>
    </row>
    <row r="55" spans="1:8">
      <c r="A55" t="s">
        <v>214</v>
      </c>
      <c r="B55" t="s">
        <v>220</v>
      </c>
      <c r="C55" s="2">
        <v>61</v>
      </c>
      <c r="D55" s="2">
        <v>2367</v>
      </c>
      <c r="E55" s="2">
        <v>91</v>
      </c>
      <c r="F55" s="2">
        <v>37810</v>
      </c>
      <c r="G55" s="2">
        <v>125</v>
      </c>
      <c r="H55" s="2">
        <v>135953</v>
      </c>
    </row>
    <row r="56" spans="1:8">
      <c r="A56" t="s">
        <v>214</v>
      </c>
      <c r="B56" t="s">
        <v>221</v>
      </c>
      <c r="C56" s="2">
        <v>4</v>
      </c>
      <c r="D56" s="2">
        <v>1467</v>
      </c>
      <c r="E56" s="2">
        <v>10</v>
      </c>
      <c r="F56" s="2">
        <v>17723</v>
      </c>
      <c r="G56" s="2">
        <v>27</v>
      </c>
      <c r="H56" s="2">
        <v>32144</v>
      </c>
    </row>
    <row r="57" spans="1:8">
      <c r="A57" t="s">
        <v>214</v>
      </c>
      <c r="B57" t="s">
        <v>222</v>
      </c>
      <c r="C57" s="2">
        <v>22</v>
      </c>
      <c r="D57" s="2">
        <v>120</v>
      </c>
      <c r="E57" s="2">
        <v>48</v>
      </c>
      <c r="F57" s="2">
        <v>1463</v>
      </c>
      <c r="G57" s="2">
        <v>69</v>
      </c>
      <c r="H57" s="2">
        <v>5517</v>
      </c>
    </row>
    <row r="58" spans="1:8">
      <c r="A58" t="s">
        <v>214</v>
      </c>
      <c r="B58" t="s">
        <v>223</v>
      </c>
      <c r="C58" s="2">
        <v>0</v>
      </c>
      <c r="D58" s="2">
        <v>0</v>
      </c>
      <c r="E58" s="2">
        <v>1</v>
      </c>
      <c r="F58" s="2">
        <v>68</v>
      </c>
      <c r="G58" s="2">
        <v>33</v>
      </c>
      <c r="H58" s="2">
        <v>8943</v>
      </c>
    </row>
    <row r="59" spans="1:8">
      <c r="A59" t="s">
        <v>214</v>
      </c>
      <c r="B59" t="s">
        <v>224</v>
      </c>
      <c r="C59" s="2">
        <v>13</v>
      </c>
      <c r="D59" s="2">
        <v>3481</v>
      </c>
      <c r="E59" s="2">
        <v>21</v>
      </c>
      <c r="F59" s="2">
        <v>44817</v>
      </c>
      <c r="G59" s="2">
        <v>45</v>
      </c>
      <c r="H59" s="2">
        <v>56920</v>
      </c>
    </row>
    <row r="60" spans="1:8">
      <c r="A60" t="s">
        <v>214</v>
      </c>
      <c r="B60" t="s">
        <v>225</v>
      </c>
      <c r="C60" s="2">
        <v>45</v>
      </c>
      <c r="D60" s="2">
        <v>260</v>
      </c>
      <c r="E60" s="2">
        <v>101</v>
      </c>
      <c r="F60" s="2">
        <v>4451</v>
      </c>
      <c r="G60" s="2">
        <v>2865</v>
      </c>
      <c r="H60" s="2">
        <v>48703</v>
      </c>
    </row>
    <row r="61" spans="1:8">
      <c r="A61" t="s">
        <v>226</v>
      </c>
      <c r="B61" t="s">
        <v>227</v>
      </c>
      <c r="C61" s="2">
        <v>2976</v>
      </c>
      <c r="D61" s="2">
        <v>10548353</v>
      </c>
      <c r="E61" s="2">
        <v>5558</v>
      </c>
      <c r="F61" s="2">
        <v>127665413</v>
      </c>
      <c r="G61" s="2">
        <v>7376</v>
      </c>
      <c r="H61" s="2">
        <v>400714403</v>
      </c>
    </row>
    <row r="62" spans="1:8">
      <c r="A62" t="s">
        <v>226</v>
      </c>
      <c r="B62" t="s">
        <v>228</v>
      </c>
      <c r="C62" s="2">
        <v>448</v>
      </c>
      <c r="D62" s="2">
        <v>890130</v>
      </c>
      <c r="E62" s="2">
        <v>602</v>
      </c>
      <c r="F62" s="2">
        <v>10973126</v>
      </c>
      <c r="G62" s="2">
        <v>664</v>
      </c>
      <c r="H62" s="2">
        <v>35478859</v>
      </c>
    </row>
    <row r="63" spans="1:8">
      <c r="A63" t="s">
        <v>226</v>
      </c>
      <c r="B63" t="s">
        <v>229</v>
      </c>
      <c r="C63" s="2">
        <v>393</v>
      </c>
      <c r="D63" s="2">
        <v>1667944</v>
      </c>
      <c r="E63" s="2">
        <v>553</v>
      </c>
      <c r="F63" s="2">
        <v>20543114</v>
      </c>
      <c r="G63" s="2">
        <v>703</v>
      </c>
      <c r="H63" s="2">
        <v>68519771</v>
      </c>
    </row>
    <row r="64" spans="1:8">
      <c r="A64" t="s">
        <v>235</v>
      </c>
      <c r="B64" t="s">
        <v>235</v>
      </c>
      <c r="C64" s="2">
        <v>758</v>
      </c>
      <c r="D64" s="2">
        <v>9272192</v>
      </c>
      <c r="E64" s="2">
        <v>1089</v>
      </c>
      <c r="F64" s="2">
        <v>117985255</v>
      </c>
      <c r="G64" s="2">
        <v>1404</v>
      </c>
      <c r="H64" s="2">
        <v>376196991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4"/>
  <sheetViews>
    <sheetView workbookViewId="0">
      <pane xSplit="5" ySplit="4" topLeftCell="F5" activePane="bottomRight" state="frozen"/>
      <selection pane="bottomRight" activeCell="E40" sqref="E40"/>
      <selection pane="bottomLeft" activeCell="A5" sqref="A5"/>
      <selection pane="topRight" activeCell="F1" sqref="F1"/>
    </sheetView>
  </sheetViews>
  <sheetFormatPr defaultRowHeight="18.75"/>
  <cols>
    <col min="1" max="1" width="19.75" bestFit="1" customWidth="1"/>
    <col min="2" max="2" width="12.25" bestFit="1" customWidth="1"/>
    <col min="3" max="3" width="13.5" bestFit="1" customWidth="1"/>
    <col min="4" max="4" width="48.125" bestFit="1" customWidth="1"/>
    <col min="5" max="5" width="50.375" bestFit="1" customWidth="1"/>
    <col min="6" max="6" width="14.75" style="2" bestFit="1" customWidth="1"/>
    <col min="7" max="7" width="17.25" style="2" bestFit="1" customWidth="1"/>
    <col min="8" max="8" width="18.875" style="2" bestFit="1" customWidth="1"/>
    <col min="9" max="9" width="21.375" style="2" bestFit="1" customWidth="1"/>
    <col min="10" max="10" width="18.875" style="2" bestFit="1" customWidth="1"/>
    <col min="11" max="11" width="21.375" style="2" bestFit="1" customWidth="1"/>
  </cols>
  <sheetData>
    <row r="1" spans="1:11">
      <c r="E1" s="1" t="s">
        <v>13</v>
      </c>
      <c r="F1" s="2">
        <f>SUM(F5:F74)</f>
        <v>22366</v>
      </c>
      <c r="G1" s="2">
        <f t="shared" ref="G1:K1" si="0">SUM(G5:G74)</f>
        <v>15840156</v>
      </c>
      <c r="H1" s="2">
        <f t="shared" si="0"/>
        <v>46186</v>
      </c>
      <c r="I1" s="2">
        <f t="shared" si="0"/>
        <v>193954889</v>
      </c>
      <c r="J1" s="2">
        <f t="shared" si="0"/>
        <v>60688</v>
      </c>
      <c r="K1" s="2">
        <f t="shared" si="0"/>
        <v>588646848</v>
      </c>
    </row>
    <row r="3" spans="1:11">
      <c r="F3" s="9" t="s">
        <v>230</v>
      </c>
      <c r="G3" s="9"/>
      <c r="H3" s="10" t="s">
        <v>231</v>
      </c>
      <c r="I3" s="10"/>
      <c r="J3" s="11" t="s">
        <v>232</v>
      </c>
      <c r="K3" s="11"/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9" t="s">
        <v>233</v>
      </c>
      <c r="G4" s="9" t="s">
        <v>234</v>
      </c>
      <c r="H4" s="10" t="s">
        <v>233</v>
      </c>
      <c r="I4" s="10" t="s">
        <v>234</v>
      </c>
      <c r="J4" s="11" t="s">
        <v>233</v>
      </c>
      <c r="K4" s="11" t="s">
        <v>234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2">
        <v>114</v>
      </c>
      <c r="G5" s="2">
        <v>5952</v>
      </c>
      <c r="H5" s="2">
        <v>407</v>
      </c>
      <c r="I5" s="2">
        <v>184935</v>
      </c>
      <c r="J5" s="2">
        <v>596</v>
      </c>
      <c r="K5" s="2">
        <v>313745</v>
      </c>
    </row>
    <row r="6" spans="1:11">
      <c r="A6" t="s">
        <v>20</v>
      </c>
      <c r="B6" t="s">
        <v>21</v>
      </c>
      <c r="C6" t="s">
        <v>22</v>
      </c>
      <c r="D6" t="s">
        <v>25</v>
      </c>
      <c r="E6" t="s">
        <v>26</v>
      </c>
      <c r="F6" s="2">
        <v>65</v>
      </c>
      <c r="G6" s="2">
        <v>117751</v>
      </c>
      <c r="H6" s="2">
        <v>257</v>
      </c>
      <c r="I6" s="2">
        <v>1482638</v>
      </c>
      <c r="J6" s="2">
        <v>371</v>
      </c>
      <c r="K6" s="2">
        <v>4767650</v>
      </c>
    </row>
    <row r="7" spans="1:11">
      <c r="A7" t="s">
        <v>20</v>
      </c>
      <c r="B7" t="s">
        <v>21</v>
      </c>
      <c r="C7" t="s">
        <v>22</v>
      </c>
      <c r="D7" t="s">
        <v>27</v>
      </c>
      <c r="E7" t="s">
        <v>28</v>
      </c>
      <c r="F7" s="2">
        <v>78</v>
      </c>
      <c r="G7" s="2">
        <v>148808</v>
      </c>
      <c r="H7" s="2">
        <v>203</v>
      </c>
      <c r="I7" s="2">
        <v>1796169</v>
      </c>
      <c r="J7" s="2">
        <v>263</v>
      </c>
      <c r="K7" s="2">
        <v>5515629</v>
      </c>
    </row>
    <row r="8" spans="1:11">
      <c r="A8" t="s">
        <v>20</v>
      </c>
      <c r="B8" t="s">
        <v>21</v>
      </c>
      <c r="C8" t="s">
        <v>22</v>
      </c>
      <c r="D8" t="s">
        <v>29</v>
      </c>
      <c r="E8" t="s">
        <v>30</v>
      </c>
      <c r="F8" s="2">
        <v>529</v>
      </c>
      <c r="G8" s="2">
        <v>813780</v>
      </c>
      <c r="H8" s="2">
        <v>1002</v>
      </c>
      <c r="I8" s="2">
        <v>9557134</v>
      </c>
      <c r="J8" s="2">
        <v>1278</v>
      </c>
      <c r="K8" s="2">
        <v>28619062</v>
      </c>
    </row>
    <row r="9" spans="1:11">
      <c r="A9" t="s">
        <v>20</v>
      </c>
      <c r="B9" t="s">
        <v>21</v>
      </c>
      <c r="C9" t="s">
        <v>22</v>
      </c>
      <c r="D9" t="s">
        <v>31</v>
      </c>
      <c r="E9" t="s">
        <v>32</v>
      </c>
      <c r="F9" s="2">
        <v>277</v>
      </c>
      <c r="G9" s="2">
        <v>420138</v>
      </c>
      <c r="H9" s="2">
        <v>671</v>
      </c>
      <c r="I9" s="2">
        <v>5088776</v>
      </c>
      <c r="J9" s="2">
        <v>915</v>
      </c>
      <c r="K9" s="2">
        <v>15013464</v>
      </c>
    </row>
    <row r="10" spans="1:11">
      <c r="A10" t="s">
        <v>20</v>
      </c>
      <c r="B10" t="s">
        <v>21</v>
      </c>
      <c r="C10" t="s">
        <v>22</v>
      </c>
      <c r="D10" t="s">
        <v>33</v>
      </c>
      <c r="E10" t="s">
        <v>34</v>
      </c>
      <c r="F10" s="2">
        <v>266</v>
      </c>
      <c r="G10" s="2">
        <v>242171</v>
      </c>
      <c r="H10" s="2">
        <v>378</v>
      </c>
      <c r="I10" s="2">
        <v>2778341</v>
      </c>
      <c r="J10" s="2">
        <v>470</v>
      </c>
      <c r="K10" s="2">
        <v>8439079</v>
      </c>
    </row>
    <row r="11" spans="1:11">
      <c r="A11" t="s">
        <v>20</v>
      </c>
      <c r="B11" t="s">
        <v>21</v>
      </c>
      <c r="C11" t="s">
        <v>22</v>
      </c>
      <c r="D11" t="s">
        <v>35</v>
      </c>
      <c r="E11" t="s">
        <v>36</v>
      </c>
      <c r="F11" s="2">
        <v>170</v>
      </c>
      <c r="G11" s="2">
        <v>214497</v>
      </c>
      <c r="H11" s="2">
        <v>340</v>
      </c>
      <c r="I11" s="2">
        <v>2448197</v>
      </c>
      <c r="J11" s="2">
        <v>447</v>
      </c>
      <c r="K11" s="2">
        <v>7615446</v>
      </c>
    </row>
    <row r="12" spans="1:11">
      <c r="A12" t="s">
        <v>20</v>
      </c>
      <c r="B12" t="s">
        <v>21</v>
      </c>
      <c r="C12" t="s">
        <v>22</v>
      </c>
      <c r="D12" t="s">
        <v>37</v>
      </c>
      <c r="E12" t="s">
        <v>38</v>
      </c>
      <c r="F12" s="2">
        <v>363</v>
      </c>
      <c r="G12" s="2">
        <v>549616</v>
      </c>
      <c r="H12" s="2">
        <v>832</v>
      </c>
      <c r="I12" s="2">
        <v>6615677</v>
      </c>
      <c r="J12" s="2">
        <v>1087</v>
      </c>
      <c r="K12" s="2">
        <v>20085956</v>
      </c>
    </row>
    <row r="13" spans="1:11">
      <c r="A13" t="s">
        <v>20</v>
      </c>
      <c r="B13" t="s">
        <v>21</v>
      </c>
      <c r="C13" t="s">
        <v>22</v>
      </c>
      <c r="D13" t="s">
        <v>39</v>
      </c>
      <c r="E13" t="s">
        <v>40</v>
      </c>
      <c r="F13" s="2">
        <v>77</v>
      </c>
      <c r="G13" s="2">
        <v>110591</v>
      </c>
      <c r="H13" s="2">
        <v>116</v>
      </c>
      <c r="I13" s="2">
        <v>1411181</v>
      </c>
      <c r="J13" s="2">
        <v>144</v>
      </c>
      <c r="K13" s="2">
        <v>4459406</v>
      </c>
    </row>
    <row r="14" spans="1:11">
      <c r="A14" t="s">
        <v>20</v>
      </c>
      <c r="B14" t="s">
        <v>21</v>
      </c>
      <c r="C14" t="s">
        <v>22</v>
      </c>
      <c r="D14" t="s">
        <v>41</v>
      </c>
      <c r="E14" t="s">
        <v>42</v>
      </c>
      <c r="F14" s="2">
        <v>234</v>
      </c>
      <c r="G14" s="2">
        <v>418958</v>
      </c>
      <c r="H14" s="2">
        <v>417</v>
      </c>
      <c r="I14" s="2">
        <v>5281067</v>
      </c>
      <c r="J14" s="2">
        <v>688</v>
      </c>
      <c r="K14" s="2">
        <v>15903551</v>
      </c>
    </row>
    <row r="15" spans="1:11">
      <c r="A15" t="s">
        <v>20</v>
      </c>
      <c r="B15" t="s">
        <v>21</v>
      </c>
      <c r="C15" t="s">
        <v>22</v>
      </c>
      <c r="D15" t="s">
        <v>43</v>
      </c>
      <c r="E15" t="s">
        <v>44</v>
      </c>
      <c r="F15" s="2">
        <v>315</v>
      </c>
      <c r="G15" s="2">
        <v>575557</v>
      </c>
      <c r="H15" s="2">
        <v>649</v>
      </c>
      <c r="I15" s="2">
        <v>6753536</v>
      </c>
      <c r="J15" s="2">
        <v>962</v>
      </c>
      <c r="K15" s="2">
        <v>22825462</v>
      </c>
    </row>
    <row r="16" spans="1:11">
      <c r="A16" t="s">
        <v>20</v>
      </c>
      <c r="B16" t="s">
        <v>21</v>
      </c>
      <c r="C16" t="s">
        <v>22</v>
      </c>
      <c r="D16" t="s">
        <v>45</v>
      </c>
      <c r="E16" t="s">
        <v>46</v>
      </c>
      <c r="F16" s="2">
        <v>299</v>
      </c>
      <c r="G16" s="2">
        <v>504286</v>
      </c>
      <c r="H16" s="2">
        <v>825</v>
      </c>
      <c r="I16" s="2">
        <v>6222255</v>
      </c>
      <c r="J16" s="2">
        <v>1086</v>
      </c>
      <c r="K16" s="2">
        <v>17865751</v>
      </c>
    </row>
    <row r="17" spans="1:11">
      <c r="A17" t="s">
        <v>20</v>
      </c>
      <c r="B17" t="s">
        <v>21</v>
      </c>
      <c r="C17" t="s">
        <v>22</v>
      </c>
      <c r="D17" t="s">
        <v>47</v>
      </c>
      <c r="E17" t="s">
        <v>48</v>
      </c>
      <c r="F17" s="2">
        <v>502</v>
      </c>
      <c r="G17" s="2">
        <v>763998</v>
      </c>
      <c r="H17" s="2">
        <v>1025</v>
      </c>
      <c r="I17" s="2">
        <v>9933810</v>
      </c>
      <c r="J17" s="2">
        <v>1476</v>
      </c>
      <c r="K17" s="2">
        <v>28483314</v>
      </c>
    </row>
    <row r="18" spans="1:11">
      <c r="A18" t="s">
        <v>20</v>
      </c>
      <c r="B18" t="s">
        <v>21</v>
      </c>
      <c r="C18" t="s">
        <v>22</v>
      </c>
      <c r="D18" t="s">
        <v>49</v>
      </c>
      <c r="E18" t="s">
        <v>50</v>
      </c>
      <c r="F18" s="2">
        <v>144</v>
      </c>
      <c r="G18" s="2">
        <v>254750</v>
      </c>
      <c r="H18" s="2">
        <v>360</v>
      </c>
      <c r="I18" s="2">
        <v>3182735</v>
      </c>
      <c r="J18" s="2">
        <v>518</v>
      </c>
      <c r="K18" s="2">
        <v>9796654</v>
      </c>
    </row>
    <row r="19" spans="1:11">
      <c r="A19" t="s">
        <v>20</v>
      </c>
      <c r="B19" t="s">
        <v>21</v>
      </c>
      <c r="C19" t="s">
        <v>22</v>
      </c>
      <c r="D19" t="s">
        <v>51</v>
      </c>
      <c r="E19" t="s">
        <v>52</v>
      </c>
      <c r="F19" s="2">
        <v>524</v>
      </c>
      <c r="G19" s="2">
        <v>725379</v>
      </c>
      <c r="H19" s="2">
        <v>1068</v>
      </c>
      <c r="I19" s="2">
        <v>9130049</v>
      </c>
      <c r="J19" s="2">
        <v>1451</v>
      </c>
      <c r="K19" s="2">
        <v>28265102</v>
      </c>
    </row>
    <row r="20" spans="1:11">
      <c r="A20" t="s">
        <v>20</v>
      </c>
      <c r="B20" t="s">
        <v>21</v>
      </c>
      <c r="C20" t="s">
        <v>22</v>
      </c>
      <c r="D20" t="s">
        <v>53</v>
      </c>
      <c r="E20" t="s">
        <v>54</v>
      </c>
      <c r="F20" s="2">
        <v>300</v>
      </c>
      <c r="G20" s="2">
        <v>406495</v>
      </c>
      <c r="H20" s="2">
        <v>507</v>
      </c>
      <c r="I20" s="2">
        <v>5020585</v>
      </c>
      <c r="J20" s="2">
        <v>647</v>
      </c>
      <c r="K20" s="2">
        <v>15787936</v>
      </c>
    </row>
    <row r="21" spans="1:11">
      <c r="A21" t="s">
        <v>20</v>
      </c>
      <c r="B21" t="s">
        <v>21</v>
      </c>
      <c r="C21" t="s">
        <v>22</v>
      </c>
      <c r="D21" t="s">
        <v>55</v>
      </c>
      <c r="E21" t="s">
        <v>56</v>
      </c>
      <c r="F21" s="2">
        <v>41</v>
      </c>
      <c r="G21" s="2">
        <v>34583</v>
      </c>
      <c r="H21" s="2">
        <v>73</v>
      </c>
      <c r="I21" s="2">
        <v>479585</v>
      </c>
      <c r="J21" s="2">
        <v>97</v>
      </c>
      <c r="K21" s="2">
        <v>1487262</v>
      </c>
    </row>
    <row r="22" spans="1:11">
      <c r="A22" t="s">
        <v>20</v>
      </c>
      <c r="B22" t="s">
        <v>21</v>
      </c>
      <c r="C22" t="s">
        <v>22</v>
      </c>
      <c r="D22" t="s">
        <v>57</v>
      </c>
      <c r="E22" t="s">
        <v>58</v>
      </c>
      <c r="F22" s="2">
        <v>807</v>
      </c>
      <c r="G22" s="2">
        <v>1407033</v>
      </c>
      <c r="H22" s="2">
        <v>2079</v>
      </c>
      <c r="I22" s="2">
        <v>16837901</v>
      </c>
      <c r="J22" s="2">
        <v>2949</v>
      </c>
      <c r="K22" s="2">
        <v>51581658</v>
      </c>
    </row>
    <row r="23" spans="1:11">
      <c r="A23" t="s">
        <v>20</v>
      </c>
      <c r="B23" t="s">
        <v>21</v>
      </c>
      <c r="C23" t="s">
        <v>22</v>
      </c>
      <c r="D23" t="s">
        <v>59</v>
      </c>
      <c r="E23" t="s">
        <v>60</v>
      </c>
      <c r="F23" s="2">
        <v>320</v>
      </c>
      <c r="G23" s="2">
        <v>323309</v>
      </c>
      <c r="H23" s="2">
        <v>748</v>
      </c>
      <c r="I23" s="2">
        <v>3905200</v>
      </c>
      <c r="J23" s="2">
        <v>1049</v>
      </c>
      <c r="K23" s="2">
        <v>11557287</v>
      </c>
    </row>
    <row r="24" spans="1:11">
      <c r="A24" t="s">
        <v>20</v>
      </c>
      <c r="B24" t="s">
        <v>21</v>
      </c>
      <c r="C24" t="s">
        <v>22</v>
      </c>
      <c r="D24" t="s">
        <v>61</v>
      </c>
      <c r="E24" t="s">
        <v>62</v>
      </c>
      <c r="F24" s="2">
        <v>513</v>
      </c>
      <c r="G24" s="2">
        <v>385646</v>
      </c>
      <c r="H24" s="2">
        <v>914</v>
      </c>
      <c r="I24" s="2">
        <v>4810103</v>
      </c>
      <c r="J24" s="2">
        <v>1191</v>
      </c>
      <c r="K24" s="2">
        <v>14406449</v>
      </c>
    </row>
    <row r="25" spans="1:11">
      <c r="A25" t="s">
        <v>20</v>
      </c>
      <c r="B25" t="s">
        <v>21</v>
      </c>
      <c r="C25" t="s">
        <v>22</v>
      </c>
      <c r="D25" t="s">
        <v>63</v>
      </c>
      <c r="E25" t="s">
        <v>64</v>
      </c>
      <c r="F25" s="2">
        <v>1317</v>
      </c>
      <c r="G25" s="2">
        <v>781400</v>
      </c>
      <c r="H25" s="2">
        <v>4554</v>
      </c>
      <c r="I25" s="2">
        <v>9610316</v>
      </c>
      <c r="J25" s="2">
        <v>6878</v>
      </c>
      <c r="K25" s="2">
        <v>26974468</v>
      </c>
    </row>
    <row r="26" spans="1:11">
      <c r="A26" t="s">
        <v>20</v>
      </c>
      <c r="B26" t="s">
        <v>21</v>
      </c>
      <c r="C26" t="s">
        <v>22</v>
      </c>
      <c r="D26" t="s">
        <v>65</v>
      </c>
      <c r="E26" t="s">
        <v>66</v>
      </c>
      <c r="F26" s="2">
        <v>161</v>
      </c>
      <c r="G26" s="2">
        <v>240371</v>
      </c>
      <c r="H26" s="2">
        <v>381</v>
      </c>
      <c r="I26" s="2">
        <v>2887049</v>
      </c>
      <c r="J26" s="2">
        <v>502</v>
      </c>
      <c r="K26" s="2">
        <v>8514420</v>
      </c>
    </row>
    <row r="27" spans="1:11">
      <c r="A27" t="s">
        <v>20</v>
      </c>
      <c r="B27" t="s">
        <v>21</v>
      </c>
      <c r="C27" t="s">
        <v>22</v>
      </c>
      <c r="D27" t="s">
        <v>67</v>
      </c>
      <c r="E27" t="s">
        <v>68</v>
      </c>
      <c r="F27" s="2">
        <v>38</v>
      </c>
      <c r="G27" s="2">
        <v>39448</v>
      </c>
      <c r="H27" s="2">
        <v>75</v>
      </c>
      <c r="I27" s="2">
        <v>546975</v>
      </c>
      <c r="J27" s="2">
        <v>103</v>
      </c>
      <c r="K27" s="2">
        <v>1778793</v>
      </c>
    </row>
    <row r="28" spans="1:11">
      <c r="A28" t="s">
        <v>20</v>
      </c>
      <c r="B28" t="s">
        <v>21</v>
      </c>
      <c r="C28" t="s">
        <v>22</v>
      </c>
      <c r="D28" t="s">
        <v>69</v>
      </c>
      <c r="E28" t="s">
        <v>70</v>
      </c>
      <c r="F28" s="2">
        <v>1</v>
      </c>
      <c r="G28" s="2">
        <v>42</v>
      </c>
      <c r="H28" s="2">
        <v>1</v>
      </c>
      <c r="I28" s="2">
        <v>525</v>
      </c>
      <c r="J28" s="2">
        <v>5</v>
      </c>
      <c r="K28" s="2">
        <v>1504</v>
      </c>
    </row>
    <row r="29" spans="1:11">
      <c r="A29" t="s">
        <v>20</v>
      </c>
      <c r="B29" t="s">
        <v>21</v>
      </c>
      <c r="C29" t="s">
        <v>22</v>
      </c>
      <c r="D29" t="s">
        <v>71</v>
      </c>
      <c r="E29" t="s">
        <v>72</v>
      </c>
      <c r="F29" s="2">
        <v>1</v>
      </c>
      <c r="G29" s="2">
        <v>20</v>
      </c>
      <c r="H29" s="2">
        <v>4</v>
      </c>
      <c r="I29" s="2">
        <v>303</v>
      </c>
      <c r="J29" s="2">
        <v>6</v>
      </c>
      <c r="K29" s="2">
        <v>699</v>
      </c>
    </row>
    <row r="30" spans="1:11">
      <c r="A30" t="s">
        <v>20</v>
      </c>
      <c r="B30" t="s">
        <v>21</v>
      </c>
      <c r="C30" t="s">
        <v>22</v>
      </c>
      <c r="D30" t="s">
        <v>73</v>
      </c>
      <c r="E30" t="s">
        <v>74</v>
      </c>
      <c r="F30" s="2">
        <v>5</v>
      </c>
      <c r="G30" s="2">
        <v>67</v>
      </c>
      <c r="H30" s="2">
        <v>10</v>
      </c>
      <c r="I30" s="2">
        <v>1905</v>
      </c>
      <c r="J30" s="2">
        <v>13</v>
      </c>
      <c r="K30" s="2">
        <v>20189</v>
      </c>
    </row>
    <row r="31" spans="1:11">
      <c r="A31" t="s">
        <v>20</v>
      </c>
      <c r="B31" t="s">
        <v>21</v>
      </c>
      <c r="C31" t="s">
        <v>75</v>
      </c>
      <c r="D31" t="s">
        <v>76</v>
      </c>
      <c r="E31" t="s">
        <v>77</v>
      </c>
      <c r="F31" s="2">
        <v>497</v>
      </c>
      <c r="G31" s="2">
        <v>25593</v>
      </c>
      <c r="H31" s="2">
        <v>1448</v>
      </c>
      <c r="I31" s="2">
        <v>333239</v>
      </c>
      <c r="J31" s="2">
        <v>1958</v>
      </c>
      <c r="K31" s="2">
        <v>1103443</v>
      </c>
    </row>
    <row r="32" spans="1:11">
      <c r="A32" t="s">
        <v>20</v>
      </c>
      <c r="B32" t="s">
        <v>21</v>
      </c>
      <c r="C32" t="s">
        <v>75</v>
      </c>
      <c r="D32" t="s">
        <v>78</v>
      </c>
      <c r="E32" t="s">
        <v>79</v>
      </c>
      <c r="F32" s="2">
        <v>130</v>
      </c>
      <c r="G32" s="2">
        <v>139725</v>
      </c>
      <c r="H32" s="2">
        <v>337</v>
      </c>
      <c r="I32" s="2">
        <v>1846936</v>
      </c>
      <c r="J32" s="2">
        <v>421</v>
      </c>
      <c r="K32" s="2">
        <v>5530451</v>
      </c>
    </row>
    <row r="33" spans="1:11">
      <c r="A33" t="s">
        <v>20</v>
      </c>
      <c r="B33" t="s">
        <v>21</v>
      </c>
      <c r="C33" t="s">
        <v>75</v>
      </c>
      <c r="D33" t="s">
        <v>80</v>
      </c>
      <c r="E33" t="s">
        <v>81</v>
      </c>
      <c r="F33" s="2">
        <v>211</v>
      </c>
      <c r="G33" s="2">
        <v>158919</v>
      </c>
      <c r="H33" s="2">
        <v>494</v>
      </c>
      <c r="I33" s="2">
        <v>1959637</v>
      </c>
      <c r="J33" s="2">
        <v>701</v>
      </c>
      <c r="K33" s="2">
        <v>5864701</v>
      </c>
    </row>
    <row r="34" spans="1:11">
      <c r="A34" t="s">
        <v>20</v>
      </c>
      <c r="B34" t="s">
        <v>21</v>
      </c>
      <c r="C34" t="s">
        <v>75</v>
      </c>
      <c r="D34" t="s">
        <v>82</v>
      </c>
      <c r="E34" t="s">
        <v>83</v>
      </c>
      <c r="F34" s="2">
        <v>574</v>
      </c>
      <c r="G34" s="2">
        <v>178103</v>
      </c>
      <c r="H34" s="2">
        <v>1071</v>
      </c>
      <c r="I34" s="2">
        <v>2318662</v>
      </c>
      <c r="J34" s="2">
        <v>1399</v>
      </c>
      <c r="K34" s="2">
        <v>6912958</v>
      </c>
    </row>
    <row r="35" spans="1:11">
      <c r="A35" t="s">
        <v>20</v>
      </c>
      <c r="B35" t="s">
        <v>21</v>
      </c>
      <c r="C35" t="s">
        <v>75</v>
      </c>
      <c r="D35" t="s">
        <v>84</v>
      </c>
      <c r="E35" t="s">
        <v>85</v>
      </c>
      <c r="F35" s="2">
        <v>260</v>
      </c>
      <c r="G35" s="2">
        <v>161650</v>
      </c>
      <c r="H35" s="2">
        <v>427</v>
      </c>
      <c r="I35" s="2">
        <v>1928126</v>
      </c>
      <c r="J35" s="2">
        <v>511</v>
      </c>
      <c r="K35" s="2">
        <v>5981263</v>
      </c>
    </row>
    <row r="36" spans="1:11">
      <c r="A36" t="s">
        <v>20</v>
      </c>
      <c r="B36" t="s">
        <v>21</v>
      </c>
      <c r="C36" t="s">
        <v>75</v>
      </c>
      <c r="D36" t="s">
        <v>86</v>
      </c>
      <c r="E36" t="s">
        <v>87</v>
      </c>
      <c r="F36" s="2">
        <v>29</v>
      </c>
      <c r="G36" s="2">
        <v>3798</v>
      </c>
      <c r="H36" s="2">
        <v>444</v>
      </c>
      <c r="I36" s="2">
        <v>160919</v>
      </c>
      <c r="J36" s="2">
        <v>514</v>
      </c>
      <c r="K36" s="2">
        <v>518796</v>
      </c>
    </row>
    <row r="37" spans="1:11">
      <c r="A37" t="s">
        <v>20</v>
      </c>
      <c r="B37" t="s">
        <v>21</v>
      </c>
      <c r="C37" t="s">
        <v>75</v>
      </c>
      <c r="D37" t="s">
        <v>88</v>
      </c>
      <c r="E37" t="s">
        <v>89</v>
      </c>
      <c r="F37" s="2">
        <v>814</v>
      </c>
      <c r="G37" s="2">
        <v>441670</v>
      </c>
      <c r="H37" s="2">
        <v>1405</v>
      </c>
      <c r="I37" s="2">
        <v>5600372</v>
      </c>
      <c r="J37" s="2">
        <v>1847</v>
      </c>
      <c r="K37" s="2">
        <v>17124608</v>
      </c>
    </row>
    <row r="38" spans="1:11">
      <c r="A38" t="s">
        <v>20</v>
      </c>
      <c r="B38" t="s">
        <v>21</v>
      </c>
      <c r="C38" t="s">
        <v>75</v>
      </c>
      <c r="D38" t="s">
        <v>90</v>
      </c>
      <c r="E38" t="s">
        <v>91</v>
      </c>
      <c r="F38" s="2">
        <v>883</v>
      </c>
      <c r="G38" s="2">
        <v>304956</v>
      </c>
      <c r="H38" s="2">
        <v>1414</v>
      </c>
      <c r="I38" s="2">
        <v>3638966</v>
      </c>
      <c r="J38" s="2">
        <v>1746</v>
      </c>
      <c r="K38" s="2">
        <v>10721125</v>
      </c>
    </row>
    <row r="39" spans="1:11">
      <c r="A39" t="s">
        <v>20</v>
      </c>
      <c r="B39" t="s">
        <v>21</v>
      </c>
      <c r="C39" t="s">
        <v>75</v>
      </c>
      <c r="D39" t="s">
        <v>92</v>
      </c>
      <c r="E39" t="s">
        <v>93</v>
      </c>
      <c r="F39" s="2">
        <v>618</v>
      </c>
      <c r="G39" s="2">
        <v>198491</v>
      </c>
      <c r="H39" s="2">
        <v>1077</v>
      </c>
      <c r="I39" s="2">
        <v>2505220</v>
      </c>
      <c r="J39" s="2">
        <v>1314</v>
      </c>
      <c r="K39" s="2">
        <v>7973572</v>
      </c>
    </row>
    <row r="40" spans="1:11">
      <c r="A40" t="s">
        <v>20</v>
      </c>
      <c r="B40" t="s">
        <v>21</v>
      </c>
      <c r="C40" t="s">
        <v>75</v>
      </c>
      <c r="D40" t="s">
        <v>94</v>
      </c>
      <c r="E40" t="s">
        <v>95</v>
      </c>
      <c r="F40" s="2">
        <v>483</v>
      </c>
      <c r="G40" s="2">
        <v>383741</v>
      </c>
      <c r="H40" s="2">
        <v>1015</v>
      </c>
      <c r="I40" s="2">
        <v>4432301</v>
      </c>
      <c r="J40" s="2">
        <v>1270</v>
      </c>
      <c r="K40" s="2">
        <v>12548492</v>
      </c>
    </row>
    <row r="41" spans="1:11">
      <c r="A41" t="s">
        <v>20</v>
      </c>
      <c r="B41" t="s">
        <v>21</v>
      </c>
      <c r="C41" t="s">
        <v>75</v>
      </c>
      <c r="D41" t="s">
        <v>96</v>
      </c>
      <c r="E41" t="s">
        <v>97</v>
      </c>
      <c r="F41" s="2">
        <v>197</v>
      </c>
      <c r="G41" s="2">
        <v>107827</v>
      </c>
      <c r="H41" s="2">
        <v>338</v>
      </c>
      <c r="I41" s="2">
        <v>1325090</v>
      </c>
      <c r="J41" s="2">
        <v>421</v>
      </c>
      <c r="K41" s="2">
        <v>4251981</v>
      </c>
    </row>
    <row r="42" spans="1:11">
      <c r="A42" t="s">
        <v>20</v>
      </c>
      <c r="B42" t="s">
        <v>21</v>
      </c>
      <c r="C42" t="s">
        <v>75</v>
      </c>
      <c r="D42" t="s">
        <v>98</v>
      </c>
      <c r="E42" t="s">
        <v>99</v>
      </c>
      <c r="F42" s="2">
        <v>355</v>
      </c>
      <c r="G42" s="2">
        <v>148321</v>
      </c>
      <c r="H42" s="2">
        <v>529</v>
      </c>
      <c r="I42" s="2">
        <v>1821869</v>
      </c>
      <c r="J42" s="2">
        <v>648</v>
      </c>
      <c r="K42" s="2">
        <v>5663037</v>
      </c>
    </row>
    <row r="43" spans="1:11">
      <c r="A43" t="s">
        <v>20</v>
      </c>
      <c r="B43" t="s">
        <v>21</v>
      </c>
      <c r="C43" t="s">
        <v>75</v>
      </c>
      <c r="D43" t="s">
        <v>100</v>
      </c>
      <c r="E43" t="s">
        <v>101</v>
      </c>
      <c r="F43" s="2">
        <v>564</v>
      </c>
      <c r="G43" s="2">
        <v>194859</v>
      </c>
      <c r="H43" s="2">
        <v>1024</v>
      </c>
      <c r="I43" s="2">
        <v>2365652</v>
      </c>
      <c r="J43" s="2">
        <v>1305</v>
      </c>
      <c r="K43" s="2">
        <v>6849571</v>
      </c>
    </row>
    <row r="44" spans="1:11">
      <c r="A44" t="s">
        <v>20</v>
      </c>
      <c r="B44" t="s">
        <v>21</v>
      </c>
      <c r="C44" t="s">
        <v>75</v>
      </c>
      <c r="D44" t="s">
        <v>102</v>
      </c>
      <c r="E44" t="s">
        <v>103</v>
      </c>
      <c r="F44" s="2">
        <v>29</v>
      </c>
      <c r="G44" s="2">
        <v>4929</v>
      </c>
      <c r="H44" s="2">
        <v>81</v>
      </c>
      <c r="I44" s="2">
        <v>78308</v>
      </c>
      <c r="J44" s="2">
        <v>118</v>
      </c>
      <c r="K44" s="2">
        <v>260143</v>
      </c>
    </row>
    <row r="45" spans="1:11">
      <c r="A45" t="s">
        <v>20</v>
      </c>
      <c r="B45" t="s">
        <v>21</v>
      </c>
      <c r="C45" t="s">
        <v>75</v>
      </c>
      <c r="D45" t="s">
        <v>104</v>
      </c>
      <c r="E45" t="s">
        <v>105</v>
      </c>
      <c r="F45" s="2">
        <v>508</v>
      </c>
      <c r="G45" s="2">
        <v>197624</v>
      </c>
      <c r="H45" s="2">
        <v>866</v>
      </c>
      <c r="I45" s="2">
        <v>2517817</v>
      </c>
      <c r="J45" s="2">
        <v>1027</v>
      </c>
      <c r="K45" s="2">
        <v>7552455</v>
      </c>
    </row>
    <row r="46" spans="1:11">
      <c r="A46" t="s">
        <v>20</v>
      </c>
      <c r="B46" t="s">
        <v>21</v>
      </c>
      <c r="C46" t="s">
        <v>75</v>
      </c>
      <c r="D46" t="s">
        <v>106</v>
      </c>
      <c r="E46" t="s">
        <v>107</v>
      </c>
      <c r="F46" s="2">
        <v>291</v>
      </c>
      <c r="G46" s="2">
        <v>74478</v>
      </c>
      <c r="H46" s="2">
        <v>666</v>
      </c>
      <c r="I46" s="2">
        <v>902572</v>
      </c>
      <c r="J46" s="2">
        <v>778</v>
      </c>
      <c r="K46" s="2">
        <v>2849878</v>
      </c>
    </row>
    <row r="47" spans="1:11">
      <c r="A47" t="s">
        <v>20</v>
      </c>
      <c r="B47" t="s">
        <v>21</v>
      </c>
      <c r="C47" t="s">
        <v>75</v>
      </c>
      <c r="D47" t="s">
        <v>108</v>
      </c>
      <c r="E47" t="s">
        <v>109</v>
      </c>
      <c r="F47" s="2">
        <v>841</v>
      </c>
      <c r="G47" s="2">
        <v>301788</v>
      </c>
      <c r="H47" s="2">
        <v>1383</v>
      </c>
      <c r="I47" s="2">
        <v>4000961</v>
      </c>
      <c r="J47" s="2">
        <v>1685</v>
      </c>
      <c r="K47" s="2">
        <v>11998415</v>
      </c>
    </row>
    <row r="48" spans="1:11">
      <c r="A48" t="s">
        <v>20</v>
      </c>
      <c r="B48" t="s">
        <v>21</v>
      </c>
      <c r="C48" t="s">
        <v>75</v>
      </c>
      <c r="D48" t="s">
        <v>110</v>
      </c>
      <c r="E48" t="s">
        <v>111</v>
      </c>
      <c r="F48" s="2">
        <v>286</v>
      </c>
      <c r="G48" s="2">
        <v>203428</v>
      </c>
      <c r="H48" s="2">
        <v>535</v>
      </c>
      <c r="I48" s="2">
        <v>1676460</v>
      </c>
      <c r="J48" s="2">
        <v>631</v>
      </c>
      <c r="K48" s="2">
        <v>4878236</v>
      </c>
    </row>
    <row r="49" spans="1:11">
      <c r="A49" t="s">
        <v>20</v>
      </c>
      <c r="B49" t="s">
        <v>21</v>
      </c>
      <c r="C49" t="s">
        <v>75</v>
      </c>
      <c r="D49" t="s">
        <v>112</v>
      </c>
      <c r="E49" t="s">
        <v>113</v>
      </c>
      <c r="F49" s="2">
        <v>350</v>
      </c>
      <c r="G49" s="2">
        <v>218101</v>
      </c>
      <c r="H49" s="2">
        <v>761</v>
      </c>
      <c r="I49" s="2">
        <v>2614550</v>
      </c>
      <c r="J49" s="2">
        <v>981</v>
      </c>
      <c r="K49" s="2">
        <v>7836632</v>
      </c>
    </row>
    <row r="50" spans="1:11">
      <c r="A50" t="s">
        <v>20</v>
      </c>
      <c r="B50" t="s">
        <v>21</v>
      </c>
      <c r="C50" t="s">
        <v>75</v>
      </c>
      <c r="D50" t="s">
        <v>114</v>
      </c>
      <c r="E50" t="s">
        <v>115</v>
      </c>
      <c r="F50" s="2">
        <v>138</v>
      </c>
      <c r="G50" s="2">
        <v>18087</v>
      </c>
      <c r="H50" s="2">
        <v>240</v>
      </c>
      <c r="I50" s="2">
        <v>333823</v>
      </c>
      <c r="J50" s="2">
        <v>279</v>
      </c>
      <c r="K50" s="2">
        <v>1072490</v>
      </c>
    </row>
    <row r="51" spans="1:11">
      <c r="A51" t="s">
        <v>20</v>
      </c>
      <c r="B51" t="s">
        <v>21</v>
      </c>
      <c r="C51" t="s">
        <v>75</v>
      </c>
      <c r="D51" t="s">
        <v>116</v>
      </c>
      <c r="E51" t="s">
        <v>117</v>
      </c>
      <c r="F51" s="2">
        <v>394</v>
      </c>
      <c r="G51" s="2">
        <v>238536</v>
      </c>
      <c r="H51" s="2">
        <v>546</v>
      </c>
      <c r="I51" s="2">
        <v>2888023</v>
      </c>
      <c r="J51" s="2">
        <v>653</v>
      </c>
      <c r="K51" s="2">
        <v>8558533</v>
      </c>
    </row>
    <row r="52" spans="1:11">
      <c r="A52" t="s">
        <v>20</v>
      </c>
      <c r="B52" t="s">
        <v>21</v>
      </c>
      <c r="C52" t="s">
        <v>75</v>
      </c>
      <c r="D52" t="s">
        <v>118</v>
      </c>
      <c r="E52" t="s">
        <v>119</v>
      </c>
      <c r="F52" s="2">
        <v>196</v>
      </c>
      <c r="G52" s="2">
        <v>119507</v>
      </c>
      <c r="H52" s="2">
        <v>293</v>
      </c>
      <c r="I52" s="2">
        <v>1493541</v>
      </c>
      <c r="J52" s="2">
        <v>355</v>
      </c>
      <c r="K52" s="2">
        <v>4795883</v>
      </c>
    </row>
    <row r="53" spans="1:11">
      <c r="A53" t="s">
        <v>20</v>
      </c>
      <c r="B53" t="s">
        <v>21</v>
      </c>
      <c r="C53" t="s">
        <v>75</v>
      </c>
      <c r="D53" t="s">
        <v>120</v>
      </c>
      <c r="E53" t="s">
        <v>121</v>
      </c>
      <c r="F53" s="2">
        <v>228</v>
      </c>
      <c r="G53" s="2">
        <v>240606</v>
      </c>
      <c r="H53" s="2">
        <v>767</v>
      </c>
      <c r="I53" s="2">
        <v>2962131</v>
      </c>
      <c r="J53" s="2">
        <v>991</v>
      </c>
      <c r="K53" s="2">
        <v>9297738</v>
      </c>
    </row>
    <row r="54" spans="1:11">
      <c r="A54" t="s">
        <v>20</v>
      </c>
      <c r="B54" t="s">
        <v>21</v>
      </c>
      <c r="C54" t="s">
        <v>75</v>
      </c>
      <c r="D54" t="s">
        <v>122</v>
      </c>
      <c r="E54" t="s">
        <v>123</v>
      </c>
      <c r="F54" s="2">
        <v>395</v>
      </c>
      <c r="G54" s="2">
        <v>175275</v>
      </c>
      <c r="H54" s="2">
        <v>614</v>
      </c>
      <c r="I54" s="2">
        <v>2123244</v>
      </c>
      <c r="J54" s="2">
        <v>792</v>
      </c>
      <c r="K54" s="2">
        <v>6776896</v>
      </c>
    </row>
    <row r="55" spans="1:11">
      <c r="A55" t="s">
        <v>20</v>
      </c>
      <c r="B55" t="s">
        <v>21</v>
      </c>
      <c r="C55" t="s">
        <v>75</v>
      </c>
      <c r="D55" t="s">
        <v>124</v>
      </c>
      <c r="E55" t="s">
        <v>125</v>
      </c>
      <c r="F55" s="2">
        <v>489</v>
      </c>
      <c r="G55" s="2">
        <v>215255</v>
      </c>
      <c r="H55" s="2">
        <v>693</v>
      </c>
      <c r="I55" s="2">
        <v>2784564</v>
      </c>
      <c r="J55" s="2">
        <v>866</v>
      </c>
      <c r="K55" s="2">
        <v>9164398</v>
      </c>
    </row>
    <row r="56" spans="1:11">
      <c r="A56" t="s">
        <v>20</v>
      </c>
      <c r="B56" t="s">
        <v>21</v>
      </c>
      <c r="C56" t="s">
        <v>75</v>
      </c>
      <c r="D56" t="s">
        <v>126</v>
      </c>
      <c r="E56" t="s">
        <v>127</v>
      </c>
      <c r="F56" s="2">
        <v>579</v>
      </c>
      <c r="G56" s="2">
        <v>210781</v>
      </c>
      <c r="H56" s="2">
        <v>907</v>
      </c>
      <c r="I56" s="2">
        <v>2451592</v>
      </c>
      <c r="J56" s="2">
        <v>1125</v>
      </c>
      <c r="K56" s="2">
        <v>7681831</v>
      </c>
    </row>
    <row r="57" spans="1:11">
      <c r="A57" t="s">
        <v>20</v>
      </c>
      <c r="B57" t="s">
        <v>21</v>
      </c>
      <c r="C57" t="s">
        <v>75</v>
      </c>
      <c r="D57" t="s">
        <v>128</v>
      </c>
      <c r="E57" t="s">
        <v>129</v>
      </c>
      <c r="F57" s="2">
        <v>532</v>
      </c>
      <c r="G57" s="2">
        <v>228973</v>
      </c>
      <c r="H57" s="2">
        <v>738</v>
      </c>
      <c r="I57" s="2">
        <v>2816160</v>
      </c>
      <c r="J57" s="2">
        <v>923</v>
      </c>
      <c r="K57" s="2">
        <v>8848349</v>
      </c>
    </row>
    <row r="58" spans="1:11">
      <c r="A58" t="s">
        <v>20</v>
      </c>
      <c r="B58" t="s">
        <v>21</v>
      </c>
      <c r="C58" t="s">
        <v>75</v>
      </c>
      <c r="D58" t="s">
        <v>130</v>
      </c>
      <c r="E58" t="s">
        <v>131</v>
      </c>
      <c r="F58" s="2">
        <v>962</v>
      </c>
      <c r="G58" s="2">
        <v>315815</v>
      </c>
      <c r="H58" s="2">
        <v>1469</v>
      </c>
      <c r="I58" s="2">
        <v>3701603</v>
      </c>
      <c r="J58" s="2">
        <v>1767</v>
      </c>
      <c r="K58" s="2">
        <v>11836571</v>
      </c>
    </row>
    <row r="59" spans="1:11">
      <c r="A59" t="s">
        <v>20</v>
      </c>
      <c r="B59" t="s">
        <v>21</v>
      </c>
      <c r="C59" t="s">
        <v>75</v>
      </c>
      <c r="D59" t="s">
        <v>132</v>
      </c>
      <c r="E59" t="s">
        <v>133</v>
      </c>
      <c r="F59" s="2">
        <v>318</v>
      </c>
      <c r="G59" s="2">
        <v>112076</v>
      </c>
      <c r="H59" s="2">
        <v>524</v>
      </c>
      <c r="I59" s="2">
        <v>1223860</v>
      </c>
      <c r="J59" s="2">
        <v>648</v>
      </c>
      <c r="K59" s="2">
        <v>3875204</v>
      </c>
    </row>
    <row r="60" spans="1:11">
      <c r="A60" t="s">
        <v>20</v>
      </c>
      <c r="B60" t="s">
        <v>21</v>
      </c>
      <c r="C60" t="s">
        <v>75</v>
      </c>
      <c r="D60" t="s">
        <v>134</v>
      </c>
      <c r="E60" t="s">
        <v>135</v>
      </c>
      <c r="F60" s="2">
        <v>959</v>
      </c>
      <c r="G60" s="2">
        <v>331189</v>
      </c>
      <c r="H60" s="2">
        <v>1814</v>
      </c>
      <c r="I60" s="2">
        <v>4582951</v>
      </c>
      <c r="J60" s="2">
        <v>2241</v>
      </c>
      <c r="K60" s="2">
        <v>13685452</v>
      </c>
    </row>
    <row r="61" spans="1:11">
      <c r="A61" t="s">
        <v>20</v>
      </c>
      <c r="B61" t="s">
        <v>21</v>
      </c>
      <c r="C61" t="s">
        <v>75</v>
      </c>
      <c r="D61" t="s">
        <v>136</v>
      </c>
      <c r="E61" t="s">
        <v>137</v>
      </c>
      <c r="F61" s="2">
        <v>211</v>
      </c>
      <c r="G61" s="2">
        <v>133484</v>
      </c>
      <c r="H61" s="2">
        <v>416</v>
      </c>
      <c r="I61" s="2">
        <v>1531626</v>
      </c>
      <c r="J61" s="2">
        <v>526</v>
      </c>
      <c r="K61" s="2">
        <v>4664289</v>
      </c>
    </row>
    <row r="62" spans="1:11">
      <c r="A62" t="s">
        <v>20</v>
      </c>
      <c r="B62" t="s">
        <v>21</v>
      </c>
      <c r="C62" t="s">
        <v>75</v>
      </c>
      <c r="D62" t="s">
        <v>138</v>
      </c>
      <c r="E62" t="s">
        <v>139</v>
      </c>
      <c r="F62" s="2">
        <v>416</v>
      </c>
      <c r="G62" s="2">
        <v>260022</v>
      </c>
      <c r="H62" s="2">
        <v>815</v>
      </c>
      <c r="I62" s="2">
        <v>3004094</v>
      </c>
      <c r="J62" s="2">
        <v>1068</v>
      </c>
      <c r="K62" s="2">
        <v>9292673</v>
      </c>
    </row>
    <row r="63" spans="1:11">
      <c r="A63" t="s">
        <v>20</v>
      </c>
      <c r="B63" t="s">
        <v>21</v>
      </c>
      <c r="C63" t="s">
        <v>75</v>
      </c>
      <c r="D63" t="s">
        <v>140</v>
      </c>
      <c r="E63" t="s">
        <v>141</v>
      </c>
      <c r="F63" s="2">
        <v>108</v>
      </c>
      <c r="G63" s="2">
        <v>22451</v>
      </c>
      <c r="H63" s="2">
        <v>176</v>
      </c>
      <c r="I63" s="2">
        <v>441051</v>
      </c>
      <c r="J63" s="2">
        <v>223</v>
      </c>
      <c r="K63" s="2">
        <v>1283703</v>
      </c>
    </row>
    <row r="64" spans="1:11">
      <c r="A64" t="s">
        <v>20</v>
      </c>
      <c r="B64" t="s">
        <v>21</v>
      </c>
      <c r="C64" t="s">
        <v>75</v>
      </c>
      <c r="D64" t="s">
        <v>142</v>
      </c>
      <c r="E64" t="s">
        <v>143</v>
      </c>
      <c r="F64" s="2">
        <v>84</v>
      </c>
      <c r="G64" s="2">
        <v>18016</v>
      </c>
      <c r="H64" s="2">
        <v>178</v>
      </c>
      <c r="I64" s="2">
        <v>215889</v>
      </c>
      <c r="J64" s="2">
        <v>271</v>
      </c>
      <c r="K64" s="2">
        <v>752202</v>
      </c>
    </row>
    <row r="65" spans="1:11">
      <c r="A65" t="s">
        <v>20</v>
      </c>
      <c r="B65" t="s">
        <v>21</v>
      </c>
      <c r="C65" t="s">
        <v>75</v>
      </c>
      <c r="D65" t="s">
        <v>144</v>
      </c>
      <c r="E65" t="s">
        <v>145</v>
      </c>
      <c r="F65" s="2">
        <v>212</v>
      </c>
      <c r="G65" s="2">
        <v>31511</v>
      </c>
      <c r="H65" s="2">
        <v>288</v>
      </c>
      <c r="I65" s="2">
        <v>422750</v>
      </c>
      <c r="J65" s="2">
        <v>331</v>
      </c>
      <c r="K65" s="2">
        <v>1344812</v>
      </c>
    </row>
    <row r="66" spans="1:11">
      <c r="A66" t="s">
        <v>20</v>
      </c>
      <c r="B66" t="s">
        <v>21</v>
      </c>
      <c r="C66" t="s">
        <v>75</v>
      </c>
      <c r="D66" t="s">
        <v>146</v>
      </c>
      <c r="E66" t="s">
        <v>147</v>
      </c>
      <c r="F66" s="2">
        <v>58</v>
      </c>
      <c r="G66" s="2">
        <v>9519</v>
      </c>
      <c r="H66" s="2">
        <v>679</v>
      </c>
      <c r="I66" s="2">
        <v>271505</v>
      </c>
      <c r="J66" s="2">
        <v>763</v>
      </c>
      <c r="K66" s="2">
        <v>816870</v>
      </c>
    </row>
    <row r="67" spans="1:11">
      <c r="A67" t="s">
        <v>20</v>
      </c>
      <c r="B67" t="s">
        <v>21</v>
      </c>
      <c r="C67" t="s">
        <v>75</v>
      </c>
      <c r="D67" t="s">
        <v>148</v>
      </c>
      <c r="E67" t="s">
        <v>149</v>
      </c>
      <c r="F67" s="2">
        <v>123</v>
      </c>
      <c r="G67" s="2">
        <v>52437</v>
      </c>
      <c r="H67" s="2">
        <v>501</v>
      </c>
      <c r="I67" s="2">
        <v>664486</v>
      </c>
      <c r="J67" s="2">
        <v>759</v>
      </c>
      <c r="K67" s="2">
        <v>1979198</v>
      </c>
    </row>
    <row r="68" spans="1:11">
      <c r="A68" t="s">
        <v>20</v>
      </c>
      <c r="B68" t="s">
        <v>21</v>
      </c>
      <c r="C68" t="s">
        <v>75</v>
      </c>
      <c r="D68" t="s">
        <v>150</v>
      </c>
      <c r="E68" t="s">
        <v>151</v>
      </c>
      <c r="F68" s="2">
        <v>311</v>
      </c>
      <c r="G68" s="2">
        <v>144354</v>
      </c>
      <c r="H68" s="2">
        <v>494</v>
      </c>
      <c r="I68" s="2">
        <v>1751733</v>
      </c>
      <c r="J68" s="2">
        <v>612</v>
      </c>
      <c r="K68" s="2">
        <v>5484692</v>
      </c>
    </row>
    <row r="69" spans="1:11">
      <c r="A69" t="s">
        <v>20</v>
      </c>
      <c r="B69" t="s">
        <v>21</v>
      </c>
      <c r="C69" t="s">
        <v>75</v>
      </c>
      <c r="D69" t="s">
        <v>152</v>
      </c>
      <c r="E69" t="s">
        <v>153</v>
      </c>
      <c r="F69" s="2">
        <v>32</v>
      </c>
      <c r="G69" s="2">
        <v>8352</v>
      </c>
      <c r="H69" s="2">
        <v>66</v>
      </c>
      <c r="I69" s="2">
        <v>98667</v>
      </c>
      <c r="J69" s="2">
        <v>89</v>
      </c>
      <c r="K69" s="2">
        <v>323751</v>
      </c>
    </row>
    <row r="70" spans="1:11">
      <c r="A70" t="s">
        <v>20</v>
      </c>
      <c r="B70" t="s">
        <v>21</v>
      </c>
      <c r="C70" t="s">
        <v>75</v>
      </c>
      <c r="D70" t="s">
        <v>154</v>
      </c>
      <c r="E70" t="s">
        <v>155</v>
      </c>
      <c r="F70" s="2">
        <v>2</v>
      </c>
      <c r="G70" s="2">
        <v>2</v>
      </c>
      <c r="H70" s="2">
        <v>138</v>
      </c>
      <c r="I70" s="2">
        <v>8887</v>
      </c>
      <c r="J70" s="2">
        <v>140</v>
      </c>
      <c r="K70" s="2">
        <v>27821</v>
      </c>
    </row>
    <row r="71" spans="1:11">
      <c r="A71" t="s">
        <v>20</v>
      </c>
      <c r="B71" t="s">
        <v>21</v>
      </c>
      <c r="C71" t="s">
        <v>75</v>
      </c>
      <c r="D71" t="s">
        <v>156</v>
      </c>
      <c r="E71" t="s">
        <v>157</v>
      </c>
      <c r="F71" s="2">
        <v>46</v>
      </c>
      <c r="G71" s="2">
        <v>368</v>
      </c>
      <c r="H71" s="2">
        <v>78</v>
      </c>
      <c r="I71" s="2">
        <v>6688</v>
      </c>
      <c r="J71" s="2">
        <v>98</v>
      </c>
      <c r="K71" s="2">
        <v>28781</v>
      </c>
    </row>
    <row r="72" spans="1:11">
      <c r="A72" t="s">
        <v>20</v>
      </c>
      <c r="B72" t="s">
        <v>21</v>
      </c>
      <c r="C72" t="s">
        <v>75</v>
      </c>
      <c r="D72" t="s">
        <v>158</v>
      </c>
      <c r="E72" t="s">
        <v>159</v>
      </c>
      <c r="F72" s="2">
        <v>176</v>
      </c>
      <c r="G72" s="2">
        <v>20677</v>
      </c>
      <c r="H72" s="2">
        <v>509</v>
      </c>
      <c r="I72" s="2">
        <v>178623</v>
      </c>
      <c r="J72" s="2">
        <v>648</v>
      </c>
      <c r="K72" s="2">
        <v>545972</v>
      </c>
    </row>
    <row r="73" spans="1:11">
      <c r="A73" t="s">
        <v>20</v>
      </c>
      <c r="B73" t="s">
        <v>21</v>
      </c>
      <c r="C73" t="s">
        <v>75</v>
      </c>
      <c r="D73" t="s">
        <v>160</v>
      </c>
      <c r="E73" t="s">
        <v>161</v>
      </c>
      <c r="F73" s="2">
        <v>15</v>
      </c>
      <c r="G73" s="2">
        <v>215</v>
      </c>
      <c r="H73" s="2">
        <v>31</v>
      </c>
      <c r="I73" s="2">
        <v>2724</v>
      </c>
      <c r="J73" s="2">
        <v>52</v>
      </c>
      <c r="K73" s="2">
        <v>8818</v>
      </c>
    </row>
    <row r="74" spans="1:11">
      <c r="A74" t="s">
        <v>20</v>
      </c>
      <c r="B74" t="s">
        <v>21</v>
      </c>
      <c r="C74" t="s">
        <v>75</v>
      </c>
      <c r="D74" t="s">
        <v>162</v>
      </c>
      <c r="E74" t="s">
        <v>163</v>
      </c>
      <c r="F74" s="2">
        <v>1</v>
      </c>
      <c r="G74" s="2">
        <v>1</v>
      </c>
      <c r="H74" s="2">
        <v>1</v>
      </c>
      <c r="I74" s="2">
        <v>70</v>
      </c>
      <c r="J74" s="2">
        <v>1</v>
      </c>
      <c r="K74" s="2">
        <v>228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workbookViewId="0">
      <pane xSplit="2" ySplit="4" topLeftCell="C38" activePane="bottomRight" state="frozen"/>
      <selection pane="bottomRight" activeCell="C1" sqref="C1"/>
      <selection pane="bottomLeft" activeCell="A5" sqref="A5"/>
      <selection pane="topRight" activeCell="F1" sqref="F1"/>
    </sheetView>
  </sheetViews>
  <sheetFormatPr defaultRowHeight="18.75"/>
  <cols>
    <col min="1" max="1" width="28" bestFit="1" customWidth="1"/>
    <col min="2" max="2" width="28.125" bestFit="1" customWidth="1"/>
    <col min="3" max="3" width="14.75" style="2" bestFit="1" customWidth="1"/>
    <col min="4" max="4" width="17.25" style="2" bestFit="1" customWidth="1"/>
    <col min="5" max="5" width="18.875" style="2" bestFit="1" customWidth="1"/>
    <col min="6" max="6" width="21.375" style="2" bestFit="1" customWidth="1"/>
    <col min="7" max="7" width="18.875" style="2" bestFit="1" customWidth="1"/>
    <col min="8" max="8" width="21.375" style="2" bestFit="1" customWidth="1"/>
  </cols>
  <sheetData>
    <row r="1" spans="1:8">
      <c r="B1" s="1" t="s">
        <v>13</v>
      </c>
      <c r="C1" s="2">
        <f t="shared" ref="C1:H1" si="0">SUM(C5:C64)</f>
        <v>1379749</v>
      </c>
      <c r="D1" s="2">
        <f t="shared" si="0"/>
        <v>192857624</v>
      </c>
      <c r="E1" s="2">
        <f t="shared" si="0"/>
        <v>3040712</v>
      </c>
      <c r="F1" s="2">
        <f t="shared" si="0"/>
        <v>2356822864</v>
      </c>
      <c r="G1" s="2">
        <f t="shared" si="0"/>
        <v>4983743</v>
      </c>
      <c r="H1" s="2">
        <f t="shared" si="0"/>
        <v>7019472319</v>
      </c>
    </row>
    <row r="3" spans="1:8">
      <c r="C3" s="9" t="s">
        <v>230</v>
      </c>
      <c r="D3" s="9"/>
      <c r="E3" s="10" t="s">
        <v>231</v>
      </c>
      <c r="F3" s="10"/>
      <c r="G3" s="11" t="s">
        <v>232</v>
      </c>
      <c r="H3" s="11"/>
    </row>
    <row r="4" spans="1:8">
      <c r="A4" t="s">
        <v>14</v>
      </c>
      <c r="B4" t="s">
        <v>15</v>
      </c>
      <c r="C4" s="9" t="s">
        <v>233</v>
      </c>
      <c r="D4" s="9" t="s">
        <v>234</v>
      </c>
      <c r="E4" s="10" t="s">
        <v>233</v>
      </c>
      <c r="F4" s="10" t="s">
        <v>234</v>
      </c>
      <c r="G4" s="11" t="s">
        <v>233</v>
      </c>
      <c r="H4" s="11" t="s">
        <v>234</v>
      </c>
    </row>
    <row r="5" spans="1:8">
      <c r="A5" t="s">
        <v>164</v>
      </c>
      <c r="B5" t="s">
        <v>165</v>
      </c>
      <c r="C5" s="2">
        <v>10476</v>
      </c>
      <c r="D5" s="2">
        <v>1438734</v>
      </c>
      <c r="E5" s="2">
        <v>20642</v>
      </c>
      <c r="F5" s="2">
        <v>17927861</v>
      </c>
      <c r="G5" s="2">
        <v>28632</v>
      </c>
      <c r="H5" s="2">
        <v>55201773</v>
      </c>
    </row>
    <row r="6" spans="1:8">
      <c r="A6" t="s">
        <v>164</v>
      </c>
      <c r="B6" t="s">
        <v>166</v>
      </c>
      <c r="C6" s="2">
        <v>110494</v>
      </c>
      <c r="D6" s="2">
        <v>3947232</v>
      </c>
      <c r="E6" s="2">
        <v>242491</v>
      </c>
      <c r="F6" s="2">
        <v>48884939</v>
      </c>
      <c r="G6" s="2">
        <v>316815</v>
      </c>
      <c r="H6" s="2">
        <v>130798567</v>
      </c>
    </row>
    <row r="7" spans="1:8">
      <c r="A7" t="s">
        <v>164</v>
      </c>
      <c r="B7" t="s">
        <v>167</v>
      </c>
      <c r="C7" s="2">
        <v>20314</v>
      </c>
      <c r="D7" s="2">
        <v>1342744</v>
      </c>
      <c r="E7" s="2">
        <v>52226</v>
      </c>
      <c r="F7" s="2">
        <v>18982080</v>
      </c>
      <c r="G7" s="2">
        <v>73739</v>
      </c>
      <c r="H7" s="2">
        <v>60840311</v>
      </c>
    </row>
    <row r="8" spans="1:8">
      <c r="A8" t="s">
        <v>164</v>
      </c>
      <c r="B8" t="s">
        <v>168</v>
      </c>
      <c r="C8" s="2">
        <v>30311</v>
      </c>
      <c r="D8" s="2">
        <v>2077546</v>
      </c>
      <c r="E8" s="2">
        <v>62910</v>
      </c>
      <c r="F8" s="2">
        <v>26643619</v>
      </c>
      <c r="G8" s="2">
        <v>86264</v>
      </c>
      <c r="H8" s="2">
        <v>81705741</v>
      </c>
    </row>
    <row r="9" spans="1:8">
      <c r="A9" t="s">
        <v>164</v>
      </c>
      <c r="B9" t="s">
        <v>169</v>
      </c>
      <c r="C9" s="2">
        <v>7204</v>
      </c>
      <c r="D9" s="2">
        <v>503392</v>
      </c>
      <c r="E9" s="2">
        <v>13952</v>
      </c>
      <c r="F9" s="2">
        <v>6310734</v>
      </c>
      <c r="G9" s="2">
        <v>18771</v>
      </c>
      <c r="H9" s="2">
        <v>18047546</v>
      </c>
    </row>
    <row r="10" spans="1:8">
      <c r="A10" t="s">
        <v>164</v>
      </c>
      <c r="B10" t="s">
        <v>170</v>
      </c>
      <c r="C10" s="2">
        <v>19042</v>
      </c>
      <c r="D10" s="2">
        <v>968547</v>
      </c>
      <c r="E10" s="2">
        <v>47259</v>
      </c>
      <c r="F10" s="2">
        <v>14758956</v>
      </c>
      <c r="G10" s="2">
        <v>70892</v>
      </c>
      <c r="H10" s="2">
        <v>44015353</v>
      </c>
    </row>
    <row r="11" spans="1:8">
      <c r="A11" t="s">
        <v>164</v>
      </c>
      <c r="B11" t="s">
        <v>171</v>
      </c>
      <c r="C11" s="2">
        <v>5174</v>
      </c>
      <c r="D11" s="2">
        <v>626416</v>
      </c>
      <c r="E11" s="2">
        <v>11093</v>
      </c>
      <c r="F11" s="2">
        <v>7635609</v>
      </c>
      <c r="G11" s="2">
        <v>15172</v>
      </c>
      <c r="H11" s="2">
        <v>22167460</v>
      </c>
    </row>
    <row r="12" spans="1:8">
      <c r="A12" t="s">
        <v>172</v>
      </c>
      <c r="B12" t="s">
        <v>173</v>
      </c>
      <c r="C12" s="2">
        <v>5068</v>
      </c>
      <c r="D12" s="2">
        <v>180880</v>
      </c>
      <c r="E12" s="2">
        <v>21689</v>
      </c>
      <c r="F12" s="2">
        <v>3876903</v>
      </c>
      <c r="G12" s="2">
        <v>28988</v>
      </c>
      <c r="H12" s="2">
        <v>10192683</v>
      </c>
    </row>
    <row r="13" spans="1:8">
      <c r="A13" t="s">
        <v>172</v>
      </c>
      <c r="B13" t="s">
        <v>174</v>
      </c>
      <c r="C13" s="2">
        <v>23</v>
      </c>
      <c r="D13" s="2">
        <v>34</v>
      </c>
      <c r="E13" s="2">
        <v>74</v>
      </c>
      <c r="F13" s="2">
        <v>1052</v>
      </c>
      <c r="G13" s="2">
        <v>74</v>
      </c>
      <c r="H13" s="2">
        <v>1187</v>
      </c>
    </row>
    <row r="14" spans="1:8">
      <c r="A14" t="s">
        <v>172</v>
      </c>
      <c r="B14" t="s">
        <v>175</v>
      </c>
      <c r="C14" s="2">
        <v>75925</v>
      </c>
      <c r="D14" s="2">
        <v>6190255</v>
      </c>
      <c r="E14" s="2">
        <v>147525</v>
      </c>
      <c r="F14" s="2">
        <v>71970394</v>
      </c>
      <c r="G14" s="2">
        <v>202193</v>
      </c>
      <c r="H14" s="2">
        <v>208967373</v>
      </c>
    </row>
    <row r="15" spans="1:8">
      <c r="A15" t="s">
        <v>172</v>
      </c>
      <c r="B15" t="s">
        <v>176</v>
      </c>
      <c r="C15" s="2">
        <v>1</v>
      </c>
      <c r="D15" s="2">
        <v>7</v>
      </c>
      <c r="E15" s="2">
        <v>2</v>
      </c>
      <c r="F15" s="2">
        <v>46</v>
      </c>
      <c r="G15" s="2">
        <v>2</v>
      </c>
      <c r="H15" s="2">
        <v>46</v>
      </c>
    </row>
    <row r="16" spans="1:8">
      <c r="A16" t="s">
        <v>172</v>
      </c>
      <c r="B16" t="s">
        <v>177</v>
      </c>
      <c r="C16" s="2">
        <v>8126</v>
      </c>
      <c r="D16" s="2">
        <v>139593</v>
      </c>
      <c r="E16" s="2">
        <v>22800</v>
      </c>
      <c r="F16" s="2">
        <v>1343063</v>
      </c>
      <c r="G16" s="2">
        <v>32557</v>
      </c>
      <c r="H16" s="2">
        <v>4311679</v>
      </c>
    </row>
    <row r="17" spans="1:8">
      <c r="A17" t="s">
        <v>172</v>
      </c>
      <c r="B17" t="s">
        <v>178</v>
      </c>
      <c r="C17" s="2">
        <v>76380</v>
      </c>
      <c r="D17" s="2">
        <v>3791351</v>
      </c>
      <c r="E17" s="2">
        <v>145684</v>
      </c>
      <c r="F17" s="2">
        <v>40891259</v>
      </c>
      <c r="G17" s="2">
        <v>192024</v>
      </c>
      <c r="H17" s="2">
        <v>124953515</v>
      </c>
    </row>
    <row r="18" spans="1:8">
      <c r="A18" t="s">
        <v>172</v>
      </c>
      <c r="B18" t="s">
        <v>179</v>
      </c>
      <c r="C18" s="2">
        <v>32077</v>
      </c>
      <c r="D18" s="2">
        <v>725840</v>
      </c>
      <c r="E18" s="2">
        <v>73876</v>
      </c>
      <c r="F18" s="2">
        <v>10109648</v>
      </c>
      <c r="G18" s="2">
        <v>102075</v>
      </c>
      <c r="H18" s="2">
        <v>31794164</v>
      </c>
    </row>
    <row r="19" spans="1:8">
      <c r="A19" t="s">
        <v>172</v>
      </c>
      <c r="B19" t="s">
        <v>180</v>
      </c>
      <c r="C19" s="2">
        <v>6266</v>
      </c>
      <c r="D19" s="2">
        <v>1074547</v>
      </c>
      <c r="E19" s="2">
        <v>16926</v>
      </c>
      <c r="F19" s="2">
        <v>11895243</v>
      </c>
      <c r="G19" s="2">
        <v>25493</v>
      </c>
      <c r="H19" s="2">
        <v>31317141</v>
      </c>
    </row>
    <row r="20" spans="1:8">
      <c r="A20" t="s">
        <v>172</v>
      </c>
      <c r="B20" t="s">
        <v>181</v>
      </c>
      <c r="C20" s="2">
        <v>17048</v>
      </c>
      <c r="D20" s="2">
        <v>671362</v>
      </c>
      <c r="E20" s="2">
        <v>40711</v>
      </c>
      <c r="F20" s="2">
        <v>10322770</v>
      </c>
      <c r="G20" s="2">
        <v>55925</v>
      </c>
      <c r="H20" s="2">
        <v>31553091</v>
      </c>
    </row>
    <row r="21" spans="1:8">
      <c r="A21" t="s">
        <v>172</v>
      </c>
      <c r="B21" t="s">
        <v>182</v>
      </c>
      <c r="C21" s="2">
        <v>667</v>
      </c>
      <c r="D21" s="2">
        <v>21329</v>
      </c>
      <c r="E21" s="2">
        <v>1019</v>
      </c>
      <c r="F21" s="2">
        <v>259600</v>
      </c>
      <c r="G21" s="2">
        <v>1087</v>
      </c>
      <c r="H21" s="2">
        <v>455738</v>
      </c>
    </row>
    <row r="22" spans="1:8">
      <c r="A22" t="s">
        <v>183</v>
      </c>
      <c r="B22" t="s">
        <v>184</v>
      </c>
      <c r="C22" s="2">
        <v>38573</v>
      </c>
      <c r="D22" s="2">
        <v>21531316</v>
      </c>
      <c r="E22" s="2">
        <v>84245</v>
      </c>
      <c r="F22" s="2">
        <v>264963698</v>
      </c>
      <c r="G22" s="2">
        <v>113674</v>
      </c>
      <c r="H22" s="2">
        <v>787350464</v>
      </c>
    </row>
    <row r="23" spans="1:8">
      <c r="A23" t="s">
        <v>183</v>
      </c>
      <c r="B23" t="s">
        <v>185</v>
      </c>
      <c r="C23" s="2">
        <v>13191</v>
      </c>
      <c r="D23" s="2">
        <v>3951621</v>
      </c>
      <c r="E23" s="2">
        <v>23782</v>
      </c>
      <c r="F23" s="2">
        <v>48987460</v>
      </c>
      <c r="G23" s="2">
        <v>32070</v>
      </c>
      <c r="H23" s="2">
        <v>140609246</v>
      </c>
    </row>
    <row r="24" spans="1:8">
      <c r="A24" t="s">
        <v>183</v>
      </c>
      <c r="B24" t="s">
        <v>186</v>
      </c>
      <c r="C24" s="2">
        <v>16863</v>
      </c>
      <c r="D24" s="2">
        <v>4647065</v>
      </c>
      <c r="E24" s="2">
        <v>43565</v>
      </c>
      <c r="F24" s="2">
        <v>58971643</v>
      </c>
      <c r="G24" s="2">
        <v>60603</v>
      </c>
      <c r="H24" s="2">
        <v>175137922</v>
      </c>
    </row>
    <row r="25" spans="1:8">
      <c r="A25" t="s">
        <v>187</v>
      </c>
      <c r="B25" t="s">
        <v>188</v>
      </c>
      <c r="C25" s="2">
        <v>76783</v>
      </c>
      <c r="D25" s="2">
        <v>714413</v>
      </c>
      <c r="E25" s="2">
        <v>185745</v>
      </c>
      <c r="F25" s="2">
        <v>8812071</v>
      </c>
      <c r="G25" s="2">
        <v>256540</v>
      </c>
      <c r="H25" s="2">
        <v>27400110</v>
      </c>
    </row>
    <row r="26" spans="1:8">
      <c r="A26" t="s">
        <v>187</v>
      </c>
      <c r="B26" t="s">
        <v>189</v>
      </c>
      <c r="C26" s="2">
        <v>37148</v>
      </c>
      <c r="D26" s="2">
        <v>295487</v>
      </c>
      <c r="E26" s="2">
        <v>85168</v>
      </c>
      <c r="F26" s="2">
        <v>3834649</v>
      </c>
      <c r="G26" s="2">
        <v>124453</v>
      </c>
      <c r="H26" s="2">
        <v>12364376</v>
      </c>
    </row>
    <row r="27" spans="1:8">
      <c r="A27" t="s">
        <v>187</v>
      </c>
      <c r="B27" t="s">
        <v>190</v>
      </c>
      <c r="C27" s="2">
        <v>40117</v>
      </c>
      <c r="D27" s="2">
        <v>362217</v>
      </c>
      <c r="E27" s="2">
        <v>89686</v>
      </c>
      <c r="F27" s="2">
        <v>4364383</v>
      </c>
      <c r="G27" s="2">
        <v>123830</v>
      </c>
      <c r="H27" s="2">
        <v>15536873</v>
      </c>
    </row>
    <row r="28" spans="1:8">
      <c r="A28" t="s">
        <v>187</v>
      </c>
      <c r="B28" t="s">
        <v>191</v>
      </c>
      <c r="C28" s="2">
        <v>53324</v>
      </c>
      <c r="D28" s="2">
        <v>1517885</v>
      </c>
      <c r="E28" s="2">
        <v>93183</v>
      </c>
      <c r="F28" s="2">
        <v>19513425</v>
      </c>
      <c r="G28" s="2">
        <v>125485</v>
      </c>
      <c r="H28" s="2">
        <v>60827991</v>
      </c>
    </row>
    <row r="29" spans="1:8">
      <c r="A29" t="s">
        <v>187</v>
      </c>
      <c r="B29" t="s">
        <v>192</v>
      </c>
      <c r="C29" s="2">
        <v>18917</v>
      </c>
      <c r="D29" s="2">
        <v>264406</v>
      </c>
      <c r="E29" s="2">
        <v>45042</v>
      </c>
      <c r="F29" s="2">
        <v>3312944</v>
      </c>
      <c r="G29" s="2">
        <v>65858</v>
      </c>
      <c r="H29" s="2">
        <v>10801524</v>
      </c>
    </row>
    <row r="30" spans="1:8">
      <c r="A30" t="s">
        <v>187</v>
      </c>
      <c r="B30" t="s">
        <v>193</v>
      </c>
      <c r="C30" s="2">
        <v>28853</v>
      </c>
      <c r="D30" s="2">
        <v>2066223</v>
      </c>
      <c r="E30" s="2">
        <v>56851</v>
      </c>
      <c r="F30" s="2">
        <v>26415266</v>
      </c>
      <c r="G30" s="2">
        <v>85961</v>
      </c>
      <c r="H30" s="2">
        <v>80047941</v>
      </c>
    </row>
    <row r="31" spans="1:8">
      <c r="A31" t="s">
        <v>187</v>
      </c>
      <c r="B31" t="s">
        <v>194</v>
      </c>
      <c r="C31" s="2">
        <v>49091</v>
      </c>
      <c r="D31" s="2">
        <v>1324641</v>
      </c>
      <c r="E31" s="2">
        <v>112658</v>
      </c>
      <c r="F31" s="2">
        <v>16563461</v>
      </c>
      <c r="G31" s="2">
        <v>164015</v>
      </c>
      <c r="H31" s="2">
        <v>47221798</v>
      </c>
    </row>
    <row r="32" spans="1:8">
      <c r="A32" t="s">
        <v>187</v>
      </c>
      <c r="B32" t="s">
        <v>195</v>
      </c>
      <c r="C32" s="2">
        <v>87574</v>
      </c>
      <c r="D32" s="2">
        <v>1671677</v>
      </c>
      <c r="E32" s="2">
        <v>200546</v>
      </c>
      <c r="F32" s="2">
        <v>20482910</v>
      </c>
      <c r="G32" s="2">
        <v>309242</v>
      </c>
      <c r="H32" s="2">
        <v>60278774</v>
      </c>
    </row>
    <row r="33" spans="1:8">
      <c r="A33" t="s">
        <v>187</v>
      </c>
      <c r="B33" t="s">
        <v>196</v>
      </c>
      <c r="C33" s="2">
        <v>78903</v>
      </c>
      <c r="D33" s="2">
        <v>3412351</v>
      </c>
      <c r="E33" s="2">
        <v>268853</v>
      </c>
      <c r="F33" s="2">
        <v>42036874</v>
      </c>
      <c r="G33" s="2">
        <v>399237</v>
      </c>
      <c r="H33" s="2">
        <v>127383162</v>
      </c>
    </row>
    <row r="34" spans="1:8">
      <c r="A34" t="s">
        <v>187</v>
      </c>
      <c r="B34" t="s">
        <v>197</v>
      </c>
      <c r="C34" s="2">
        <v>26896</v>
      </c>
      <c r="D34" s="2">
        <v>686345</v>
      </c>
      <c r="E34" s="2">
        <v>66172</v>
      </c>
      <c r="F34" s="2">
        <v>8122641</v>
      </c>
      <c r="G34" s="2">
        <v>106052</v>
      </c>
      <c r="H34" s="2">
        <v>26530252</v>
      </c>
    </row>
    <row r="35" spans="1:8">
      <c r="A35" t="s">
        <v>187</v>
      </c>
      <c r="B35" t="s">
        <v>198</v>
      </c>
      <c r="C35" s="2">
        <v>22692</v>
      </c>
      <c r="D35" s="2">
        <v>297516</v>
      </c>
      <c r="E35" s="2">
        <v>47672</v>
      </c>
      <c r="F35" s="2">
        <v>3327882</v>
      </c>
      <c r="G35" s="2">
        <v>64584</v>
      </c>
      <c r="H35" s="2">
        <v>10077067</v>
      </c>
    </row>
    <row r="36" spans="1:8">
      <c r="A36" t="s">
        <v>187</v>
      </c>
      <c r="B36" t="s">
        <v>199</v>
      </c>
      <c r="C36" s="2">
        <v>73542</v>
      </c>
      <c r="D36" s="2">
        <v>2756798</v>
      </c>
      <c r="E36" s="2">
        <v>155420</v>
      </c>
      <c r="F36" s="2">
        <v>33740625</v>
      </c>
      <c r="G36" s="2">
        <v>226132</v>
      </c>
      <c r="H36" s="2">
        <v>96759550</v>
      </c>
    </row>
    <row r="37" spans="1:8">
      <c r="A37" t="s">
        <v>200</v>
      </c>
      <c r="B37" t="s">
        <v>201</v>
      </c>
      <c r="C37" s="2">
        <v>8927</v>
      </c>
      <c r="D37" s="2">
        <v>715715</v>
      </c>
      <c r="E37" s="2">
        <v>23125</v>
      </c>
      <c r="F37" s="2">
        <v>9152370</v>
      </c>
      <c r="G37" s="2">
        <v>35492</v>
      </c>
      <c r="H37" s="2">
        <v>28533603</v>
      </c>
    </row>
    <row r="38" spans="1:8">
      <c r="A38" t="s">
        <v>200</v>
      </c>
      <c r="B38" t="s">
        <v>202</v>
      </c>
      <c r="C38" s="2">
        <v>22165</v>
      </c>
      <c r="D38" s="2">
        <v>4402366</v>
      </c>
      <c r="E38" s="2">
        <v>34475</v>
      </c>
      <c r="F38" s="2">
        <v>53882654</v>
      </c>
      <c r="G38" s="2">
        <v>43714</v>
      </c>
      <c r="H38" s="2">
        <v>155971435</v>
      </c>
    </row>
    <row r="39" spans="1:8">
      <c r="A39" t="s">
        <v>200</v>
      </c>
      <c r="B39" t="s">
        <v>203</v>
      </c>
      <c r="C39" s="2">
        <v>46934</v>
      </c>
      <c r="D39" s="2">
        <v>4544004</v>
      </c>
      <c r="E39" s="2">
        <v>75695</v>
      </c>
      <c r="F39" s="2">
        <v>53541148</v>
      </c>
      <c r="G39" s="2">
        <v>95446</v>
      </c>
      <c r="H39" s="2">
        <v>142207798</v>
      </c>
    </row>
    <row r="40" spans="1:8">
      <c r="A40" t="s">
        <v>200</v>
      </c>
      <c r="B40" t="s">
        <v>204</v>
      </c>
      <c r="C40" s="2">
        <v>13487</v>
      </c>
      <c r="D40" s="2">
        <v>5407679</v>
      </c>
      <c r="E40" s="2">
        <v>24800</v>
      </c>
      <c r="F40" s="2">
        <v>65565562</v>
      </c>
      <c r="G40" s="2">
        <v>32590</v>
      </c>
      <c r="H40" s="2">
        <v>180568759</v>
      </c>
    </row>
    <row r="41" spans="1:8">
      <c r="A41" t="s">
        <v>200</v>
      </c>
      <c r="B41" t="s">
        <v>205</v>
      </c>
      <c r="C41" s="2">
        <v>1191</v>
      </c>
      <c r="D41" s="2">
        <v>235210</v>
      </c>
      <c r="E41" s="2">
        <v>2655</v>
      </c>
      <c r="F41" s="2">
        <v>2729117</v>
      </c>
      <c r="G41" s="2">
        <v>3893</v>
      </c>
      <c r="H41" s="2">
        <v>8628367</v>
      </c>
    </row>
    <row r="42" spans="1:8">
      <c r="A42" t="s">
        <v>20</v>
      </c>
      <c r="B42" t="s">
        <v>206</v>
      </c>
      <c r="C42" s="2">
        <v>41180</v>
      </c>
      <c r="D42" s="2">
        <v>30461702</v>
      </c>
      <c r="E42" s="2">
        <v>81346</v>
      </c>
      <c r="F42" s="2">
        <v>369619952</v>
      </c>
      <c r="G42" s="2">
        <v>106476</v>
      </c>
      <c r="H42" s="2">
        <v>1122062032</v>
      </c>
    </row>
    <row r="43" spans="1:8">
      <c r="A43" t="s">
        <v>20</v>
      </c>
      <c r="B43" t="s">
        <v>21</v>
      </c>
      <c r="C43" s="2">
        <v>38050</v>
      </c>
      <c r="D43" s="2">
        <v>25761709</v>
      </c>
      <c r="E43" s="2">
        <v>85342</v>
      </c>
      <c r="F43" s="2">
        <v>314862064</v>
      </c>
      <c r="G43" s="2">
        <v>115182</v>
      </c>
      <c r="H43" s="2">
        <v>950363943</v>
      </c>
    </row>
    <row r="44" spans="1:8">
      <c r="A44" t="s">
        <v>20</v>
      </c>
      <c r="B44" t="s">
        <v>207</v>
      </c>
      <c r="C44" s="2">
        <v>18318</v>
      </c>
      <c r="D44" s="2">
        <v>8680588</v>
      </c>
      <c r="E44" s="2">
        <v>30323</v>
      </c>
      <c r="F44" s="2">
        <v>108184594</v>
      </c>
      <c r="G44" s="2">
        <v>37425</v>
      </c>
      <c r="H44" s="2">
        <v>327821405</v>
      </c>
    </row>
    <row r="45" spans="1:8">
      <c r="A45" t="s">
        <v>20</v>
      </c>
      <c r="B45" t="s">
        <v>208</v>
      </c>
      <c r="C45" s="2">
        <v>42686</v>
      </c>
      <c r="D45" s="2">
        <v>28088338</v>
      </c>
      <c r="E45" s="2">
        <v>84322</v>
      </c>
      <c r="F45" s="2">
        <v>339727012</v>
      </c>
      <c r="G45" s="2">
        <v>115360</v>
      </c>
      <c r="H45" s="2">
        <v>999894019</v>
      </c>
    </row>
    <row r="46" spans="1:8">
      <c r="A46" t="s">
        <v>209</v>
      </c>
      <c r="B46" t="s">
        <v>210</v>
      </c>
      <c r="C46" s="2">
        <v>8975</v>
      </c>
      <c r="D46" s="2">
        <v>2895161</v>
      </c>
      <c r="E46" s="2">
        <v>18601</v>
      </c>
      <c r="F46" s="2">
        <v>33427657</v>
      </c>
      <c r="G46" s="2">
        <v>25025</v>
      </c>
      <c r="H46" s="2">
        <v>88489361</v>
      </c>
    </row>
    <row r="47" spans="1:8">
      <c r="A47" t="s">
        <v>209</v>
      </c>
      <c r="B47" t="s">
        <v>211</v>
      </c>
      <c r="C47" s="2">
        <v>12104</v>
      </c>
      <c r="D47" s="2">
        <v>4286149</v>
      </c>
      <c r="E47" s="2">
        <v>18755</v>
      </c>
      <c r="F47" s="2">
        <v>52263932</v>
      </c>
      <c r="G47" s="2">
        <v>22689</v>
      </c>
      <c r="H47" s="2">
        <v>155761044</v>
      </c>
    </row>
    <row r="48" spans="1:8">
      <c r="A48" t="s">
        <v>209</v>
      </c>
      <c r="B48" t="s">
        <v>212</v>
      </c>
      <c r="C48" s="2">
        <v>18212</v>
      </c>
      <c r="D48" s="2">
        <v>3751698</v>
      </c>
      <c r="E48" s="2">
        <v>44309</v>
      </c>
      <c r="F48" s="2">
        <v>45688243</v>
      </c>
      <c r="G48" s="2">
        <v>53458</v>
      </c>
      <c r="H48" s="2">
        <v>139247373</v>
      </c>
    </row>
    <row r="49" spans="1:8">
      <c r="A49" t="s">
        <v>209</v>
      </c>
      <c r="B49" t="s">
        <v>213</v>
      </c>
      <c r="C49" s="2">
        <v>13735</v>
      </c>
      <c r="D49" s="2">
        <v>2287118</v>
      </c>
      <c r="E49" s="2">
        <v>25009</v>
      </c>
      <c r="F49" s="2">
        <v>27474779</v>
      </c>
      <c r="G49" s="2">
        <v>32422</v>
      </c>
      <c r="H49" s="2">
        <v>83283066</v>
      </c>
    </row>
    <row r="50" spans="1:8">
      <c r="A50" t="s">
        <v>214</v>
      </c>
      <c r="B50" t="s">
        <v>215</v>
      </c>
      <c r="C50" s="2">
        <v>1</v>
      </c>
      <c r="D50" s="2">
        <v>1</v>
      </c>
      <c r="E50" s="2">
        <v>3</v>
      </c>
      <c r="F50" s="2">
        <v>3</v>
      </c>
      <c r="G50" s="2">
        <v>5</v>
      </c>
      <c r="H50" s="2">
        <v>45</v>
      </c>
    </row>
    <row r="51" spans="1:8">
      <c r="A51" t="s">
        <v>214</v>
      </c>
      <c r="B51" t="s">
        <v>216</v>
      </c>
      <c r="C51" s="2">
        <v>1</v>
      </c>
      <c r="D51" s="2">
        <v>1</v>
      </c>
      <c r="E51" s="2">
        <v>1</v>
      </c>
      <c r="F51" s="2">
        <v>4</v>
      </c>
      <c r="G51" s="2">
        <v>1</v>
      </c>
      <c r="H51" s="2">
        <v>8</v>
      </c>
    </row>
    <row r="52" spans="1:8">
      <c r="A52" t="s">
        <v>214</v>
      </c>
      <c r="B52" t="s">
        <v>217</v>
      </c>
      <c r="C52" s="2">
        <v>224</v>
      </c>
      <c r="D52" s="2">
        <v>1129</v>
      </c>
      <c r="E52" s="2">
        <v>1098</v>
      </c>
      <c r="F52" s="2">
        <v>20232</v>
      </c>
      <c r="G52" s="2">
        <v>2413</v>
      </c>
      <c r="H52" s="2">
        <v>99213</v>
      </c>
    </row>
    <row r="53" spans="1:8">
      <c r="A53" t="s">
        <v>214</v>
      </c>
      <c r="B53" t="s">
        <v>218</v>
      </c>
      <c r="C53" s="2">
        <v>75</v>
      </c>
      <c r="D53" s="2">
        <v>9431</v>
      </c>
      <c r="E53" s="2">
        <v>88</v>
      </c>
      <c r="F53" s="2">
        <v>118715</v>
      </c>
      <c r="G53" s="2">
        <v>95</v>
      </c>
      <c r="H53" s="2">
        <v>398412</v>
      </c>
    </row>
    <row r="54" spans="1:8">
      <c r="A54" t="s">
        <v>214</v>
      </c>
      <c r="B54" t="s">
        <v>219</v>
      </c>
      <c r="C54" s="2">
        <v>544</v>
      </c>
      <c r="D54" s="2">
        <v>17786</v>
      </c>
      <c r="E54" s="2">
        <v>1861</v>
      </c>
      <c r="F54" s="2">
        <v>216549</v>
      </c>
      <c r="G54" s="2">
        <v>2268</v>
      </c>
      <c r="H54" s="2">
        <v>623584</v>
      </c>
    </row>
    <row r="55" spans="1:8">
      <c r="A55" t="s">
        <v>214</v>
      </c>
      <c r="B55" t="s">
        <v>220</v>
      </c>
      <c r="C55" s="2">
        <v>71</v>
      </c>
      <c r="D55" s="2">
        <v>898</v>
      </c>
      <c r="E55" s="2">
        <v>100</v>
      </c>
      <c r="F55" s="2">
        <v>12053</v>
      </c>
      <c r="G55" s="2">
        <v>125</v>
      </c>
      <c r="H55" s="2">
        <v>39547</v>
      </c>
    </row>
    <row r="56" spans="1:8">
      <c r="A56" t="s">
        <v>214</v>
      </c>
      <c r="B56" t="s">
        <v>221</v>
      </c>
      <c r="C56" s="2">
        <v>5</v>
      </c>
      <c r="D56" s="2">
        <v>52</v>
      </c>
      <c r="E56" s="2">
        <v>17</v>
      </c>
      <c r="F56" s="2">
        <v>852</v>
      </c>
      <c r="G56" s="2">
        <v>27</v>
      </c>
      <c r="H56" s="2">
        <v>2439</v>
      </c>
    </row>
    <row r="57" spans="1:8">
      <c r="A57" t="s">
        <v>214</v>
      </c>
      <c r="B57" t="s">
        <v>222</v>
      </c>
      <c r="C57" s="2">
        <v>33</v>
      </c>
      <c r="D57" s="2">
        <v>249</v>
      </c>
      <c r="E57" s="2">
        <v>64</v>
      </c>
      <c r="F57" s="2">
        <v>3644</v>
      </c>
      <c r="G57" s="2">
        <v>69</v>
      </c>
      <c r="H57" s="2">
        <v>9002</v>
      </c>
    </row>
    <row r="58" spans="1:8">
      <c r="A58" t="s">
        <v>214</v>
      </c>
      <c r="B58" t="s">
        <v>223</v>
      </c>
      <c r="C58" s="2">
        <v>1</v>
      </c>
      <c r="D58" s="2">
        <v>21</v>
      </c>
      <c r="E58" s="2">
        <v>2</v>
      </c>
      <c r="F58" s="2">
        <v>1339</v>
      </c>
      <c r="G58" s="2">
        <v>33</v>
      </c>
      <c r="H58" s="2">
        <v>11766</v>
      </c>
    </row>
    <row r="59" spans="1:8">
      <c r="A59" t="s">
        <v>214</v>
      </c>
      <c r="B59" t="s">
        <v>224</v>
      </c>
      <c r="C59" s="2">
        <v>14</v>
      </c>
      <c r="D59" s="2">
        <v>123</v>
      </c>
      <c r="E59" s="2">
        <v>27</v>
      </c>
      <c r="F59" s="2">
        <v>1752</v>
      </c>
      <c r="G59" s="2">
        <v>45</v>
      </c>
      <c r="H59" s="2">
        <v>5602</v>
      </c>
    </row>
    <row r="60" spans="1:8">
      <c r="A60" t="s">
        <v>214</v>
      </c>
      <c r="B60" t="s">
        <v>225</v>
      </c>
      <c r="C60" s="2">
        <v>65</v>
      </c>
      <c r="D60" s="2">
        <v>516</v>
      </c>
      <c r="E60" s="2">
        <v>132</v>
      </c>
      <c r="F60" s="2">
        <v>8090</v>
      </c>
      <c r="G60" s="2">
        <v>2865</v>
      </c>
      <c r="H60" s="2">
        <v>120177</v>
      </c>
    </row>
    <row r="61" spans="1:8">
      <c r="A61" t="s">
        <v>226</v>
      </c>
      <c r="B61" t="s">
        <v>227</v>
      </c>
      <c r="C61" s="2">
        <v>3863</v>
      </c>
      <c r="D61" s="2">
        <v>1854427</v>
      </c>
      <c r="E61" s="2">
        <v>6558</v>
      </c>
      <c r="F61" s="2">
        <v>22011562</v>
      </c>
      <c r="G61" s="2">
        <v>7376</v>
      </c>
      <c r="H61" s="2">
        <v>63962342</v>
      </c>
    </row>
    <row r="62" spans="1:8">
      <c r="A62" t="s">
        <v>226</v>
      </c>
      <c r="B62" t="s">
        <v>228</v>
      </c>
      <c r="C62" s="2">
        <v>482</v>
      </c>
      <c r="D62" s="2">
        <v>42969</v>
      </c>
      <c r="E62" s="2">
        <v>631</v>
      </c>
      <c r="F62" s="2">
        <v>357723</v>
      </c>
      <c r="G62" s="2">
        <v>664</v>
      </c>
      <c r="H62" s="2">
        <v>720025</v>
      </c>
    </row>
    <row r="63" spans="1:8">
      <c r="A63" t="s">
        <v>226</v>
      </c>
      <c r="B63" t="s">
        <v>229</v>
      </c>
      <c r="C63" s="2">
        <v>483</v>
      </c>
      <c r="D63" s="2">
        <v>40895</v>
      </c>
      <c r="E63" s="2">
        <v>653</v>
      </c>
      <c r="F63" s="2">
        <v>499914</v>
      </c>
      <c r="G63" s="2">
        <v>703</v>
      </c>
      <c r="H63" s="2">
        <v>1622784</v>
      </c>
    </row>
    <row r="64" spans="1:8">
      <c r="A64" t="s">
        <v>235</v>
      </c>
      <c r="B64" t="s">
        <v>235</v>
      </c>
      <c r="C64" s="2">
        <v>860</v>
      </c>
      <c r="D64" s="2">
        <v>171919</v>
      </c>
      <c r="E64" s="2">
        <v>1253</v>
      </c>
      <c r="F64" s="2">
        <v>2187640</v>
      </c>
      <c r="G64" s="2">
        <v>739443</v>
      </c>
      <c r="H64" s="2">
        <v>34374750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4"/>
  <sheetViews>
    <sheetView workbookViewId="0">
      <pane xSplit="5" ySplit="4" topLeftCell="F5" activePane="bottomRight" state="frozen"/>
      <selection pane="bottomRight" activeCell="E23" sqref="E23"/>
      <selection pane="bottomLeft" activeCell="A5" sqref="A5"/>
      <selection pane="topRight" activeCell="F1" sqref="F1"/>
    </sheetView>
  </sheetViews>
  <sheetFormatPr defaultRowHeight="18.75"/>
  <cols>
    <col min="1" max="1" width="19.75" bestFit="1" customWidth="1"/>
    <col min="2" max="2" width="12.25" bestFit="1" customWidth="1"/>
    <col min="3" max="3" width="13.5" bestFit="1" customWidth="1"/>
    <col min="4" max="4" width="48.125" bestFit="1" customWidth="1"/>
    <col min="5" max="5" width="50.375" bestFit="1" customWidth="1"/>
    <col min="6" max="6" width="14.75" style="2" bestFit="1" customWidth="1"/>
    <col min="7" max="7" width="17.25" style="2" bestFit="1" customWidth="1"/>
    <col min="8" max="8" width="18.875" style="2" bestFit="1" customWidth="1"/>
    <col min="9" max="9" width="21.375" style="2" bestFit="1" customWidth="1"/>
    <col min="10" max="10" width="18.875" style="2" bestFit="1" customWidth="1"/>
    <col min="11" max="11" width="21.375" style="2" bestFit="1" customWidth="1"/>
  </cols>
  <sheetData>
    <row r="1" spans="1:11">
      <c r="E1" s="1" t="s">
        <v>13</v>
      </c>
      <c r="F1" s="2">
        <f>SUM(F5:F74)</f>
        <v>16760</v>
      </c>
      <c r="G1" s="2">
        <f t="shared" ref="G1:K1" si="0">SUM(G5:G74)</f>
        <v>20566066</v>
      </c>
      <c r="H1" s="2">
        <f t="shared" si="0"/>
        <v>32626</v>
      </c>
      <c r="I1" s="2">
        <f t="shared" si="0"/>
        <v>251391520</v>
      </c>
      <c r="J1" s="2">
        <f t="shared" si="0"/>
        <v>59389</v>
      </c>
      <c r="K1" s="2">
        <f t="shared" si="0"/>
        <v>744039825</v>
      </c>
    </row>
    <row r="3" spans="1:11">
      <c r="F3" s="9" t="s">
        <v>230</v>
      </c>
      <c r="G3" s="9"/>
      <c r="H3" s="10" t="s">
        <v>231</v>
      </c>
      <c r="I3" s="10"/>
      <c r="J3" s="11" t="s">
        <v>232</v>
      </c>
      <c r="K3" s="11"/>
    </row>
    <row r="4" spans="1:11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9" t="s">
        <v>233</v>
      </c>
      <c r="G4" s="9" t="s">
        <v>234</v>
      </c>
      <c r="H4" s="10" t="s">
        <v>233</v>
      </c>
      <c r="I4" s="10" t="s">
        <v>234</v>
      </c>
      <c r="J4" s="11" t="s">
        <v>233</v>
      </c>
      <c r="K4" s="11" t="s">
        <v>234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2">
        <v>79</v>
      </c>
      <c r="G5" s="2">
        <v>8489</v>
      </c>
      <c r="H5" s="2">
        <v>261</v>
      </c>
      <c r="I5" s="2">
        <v>282342</v>
      </c>
      <c r="J5" s="2">
        <v>582</v>
      </c>
      <c r="K5" s="2">
        <v>380417</v>
      </c>
    </row>
    <row r="6" spans="1:11">
      <c r="A6" t="s">
        <v>20</v>
      </c>
      <c r="B6" t="s">
        <v>21</v>
      </c>
      <c r="C6" t="s">
        <v>22</v>
      </c>
      <c r="D6" t="s">
        <v>25</v>
      </c>
      <c r="E6" t="s">
        <v>26</v>
      </c>
      <c r="F6" s="2">
        <v>46</v>
      </c>
      <c r="G6" s="2">
        <v>153822</v>
      </c>
      <c r="H6" s="2">
        <v>151</v>
      </c>
      <c r="I6" s="2">
        <v>1969408</v>
      </c>
      <c r="J6" s="2">
        <v>366</v>
      </c>
      <c r="K6" s="2">
        <v>5927127</v>
      </c>
    </row>
    <row r="7" spans="1:11">
      <c r="A7" t="s">
        <v>20</v>
      </c>
      <c r="B7" t="s">
        <v>21</v>
      </c>
      <c r="C7" t="s">
        <v>22</v>
      </c>
      <c r="D7" t="s">
        <v>27</v>
      </c>
      <c r="E7" t="s">
        <v>28</v>
      </c>
      <c r="F7" s="2">
        <v>61</v>
      </c>
      <c r="G7" s="2">
        <v>162383</v>
      </c>
      <c r="H7" s="2">
        <v>130</v>
      </c>
      <c r="I7" s="2">
        <v>1912339</v>
      </c>
      <c r="J7" s="2">
        <v>251</v>
      </c>
      <c r="K7" s="2">
        <v>5459248</v>
      </c>
    </row>
    <row r="8" spans="1:11">
      <c r="A8" t="s">
        <v>20</v>
      </c>
      <c r="B8" t="s">
        <v>21</v>
      </c>
      <c r="C8" t="s">
        <v>22</v>
      </c>
      <c r="D8" t="s">
        <v>29</v>
      </c>
      <c r="E8" t="s">
        <v>30</v>
      </c>
      <c r="F8" s="2">
        <v>442</v>
      </c>
      <c r="G8" s="2">
        <v>911736</v>
      </c>
      <c r="H8" s="2">
        <v>761</v>
      </c>
      <c r="I8" s="2">
        <v>10124010</v>
      </c>
      <c r="J8" s="2">
        <v>1259</v>
      </c>
      <c r="K8" s="2">
        <v>28843996</v>
      </c>
    </row>
    <row r="9" spans="1:11">
      <c r="A9" t="s">
        <v>20</v>
      </c>
      <c r="B9" t="s">
        <v>21</v>
      </c>
      <c r="C9" t="s">
        <v>22</v>
      </c>
      <c r="D9" t="s">
        <v>31</v>
      </c>
      <c r="E9" t="s">
        <v>32</v>
      </c>
      <c r="F9" s="2">
        <v>188</v>
      </c>
      <c r="G9" s="2">
        <v>456087</v>
      </c>
      <c r="H9" s="2">
        <v>487</v>
      </c>
      <c r="I9" s="2">
        <v>5457571</v>
      </c>
      <c r="J9" s="2">
        <v>900</v>
      </c>
      <c r="K9" s="2">
        <v>16140714</v>
      </c>
    </row>
    <row r="10" spans="1:11">
      <c r="A10" t="s">
        <v>20</v>
      </c>
      <c r="B10" t="s">
        <v>21</v>
      </c>
      <c r="C10" t="s">
        <v>22</v>
      </c>
      <c r="D10" t="s">
        <v>33</v>
      </c>
      <c r="E10" t="s">
        <v>34</v>
      </c>
      <c r="F10" s="2">
        <v>228</v>
      </c>
      <c r="G10" s="2">
        <v>716038</v>
      </c>
      <c r="H10" s="2">
        <v>327</v>
      </c>
      <c r="I10" s="2">
        <v>8613046</v>
      </c>
      <c r="J10" s="2">
        <v>453</v>
      </c>
      <c r="K10" s="2">
        <v>25904408</v>
      </c>
    </row>
    <row r="11" spans="1:11">
      <c r="A11" t="s">
        <v>20</v>
      </c>
      <c r="B11" t="s">
        <v>21</v>
      </c>
      <c r="C11" t="s">
        <v>22</v>
      </c>
      <c r="D11" t="s">
        <v>35</v>
      </c>
      <c r="E11" t="s">
        <v>36</v>
      </c>
      <c r="F11" s="2">
        <v>140</v>
      </c>
      <c r="G11" s="2">
        <v>452217</v>
      </c>
      <c r="H11" s="2">
        <v>242</v>
      </c>
      <c r="I11" s="2">
        <v>5699143</v>
      </c>
      <c r="J11" s="2">
        <v>423</v>
      </c>
      <c r="K11" s="2">
        <v>17910778</v>
      </c>
    </row>
    <row r="12" spans="1:11">
      <c r="A12" t="s">
        <v>20</v>
      </c>
      <c r="B12" t="s">
        <v>21</v>
      </c>
      <c r="C12" t="s">
        <v>22</v>
      </c>
      <c r="D12" t="s">
        <v>37</v>
      </c>
      <c r="E12" t="s">
        <v>38</v>
      </c>
      <c r="F12" s="2">
        <v>273</v>
      </c>
      <c r="G12" s="2">
        <v>472303</v>
      </c>
      <c r="H12" s="2">
        <v>583</v>
      </c>
      <c r="I12" s="2">
        <v>5710714</v>
      </c>
      <c r="J12" s="2">
        <v>1072</v>
      </c>
      <c r="K12" s="2">
        <v>15838073</v>
      </c>
    </row>
    <row r="13" spans="1:11">
      <c r="A13" t="s">
        <v>20</v>
      </c>
      <c r="B13" t="s">
        <v>21</v>
      </c>
      <c r="C13" t="s">
        <v>22</v>
      </c>
      <c r="D13" t="s">
        <v>39</v>
      </c>
      <c r="E13" t="s">
        <v>40</v>
      </c>
      <c r="F13" s="2">
        <v>62</v>
      </c>
      <c r="G13" s="2">
        <v>98704</v>
      </c>
      <c r="H13" s="2">
        <v>84</v>
      </c>
      <c r="I13" s="2">
        <v>1386401</v>
      </c>
      <c r="J13" s="2">
        <v>142</v>
      </c>
      <c r="K13" s="2">
        <v>4190438</v>
      </c>
    </row>
    <row r="14" spans="1:11">
      <c r="A14" t="s">
        <v>20</v>
      </c>
      <c r="B14" t="s">
        <v>21</v>
      </c>
      <c r="C14" t="s">
        <v>22</v>
      </c>
      <c r="D14" t="s">
        <v>41</v>
      </c>
      <c r="E14" t="s">
        <v>42</v>
      </c>
      <c r="F14" s="2">
        <v>168</v>
      </c>
      <c r="G14" s="2">
        <v>203220</v>
      </c>
      <c r="H14" s="2">
        <v>283</v>
      </c>
      <c r="I14" s="2">
        <v>2788379</v>
      </c>
      <c r="J14" s="2">
        <v>659</v>
      </c>
      <c r="K14" s="2">
        <v>8145109</v>
      </c>
    </row>
    <row r="15" spans="1:11">
      <c r="A15" t="s">
        <v>20</v>
      </c>
      <c r="B15" t="s">
        <v>21</v>
      </c>
      <c r="C15" t="s">
        <v>22</v>
      </c>
      <c r="D15" t="s">
        <v>43</v>
      </c>
      <c r="E15" t="s">
        <v>44</v>
      </c>
      <c r="F15" s="2">
        <v>234</v>
      </c>
      <c r="G15" s="2">
        <v>547520</v>
      </c>
      <c r="H15" s="2">
        <v>413</v>
      </c>
      <c r="I15" s="2">
        <v>6068640</v>
      </c>
      <c r="J15" s="2">
        <v>894</v>
      </c>
      <c r="K15" s="2">
        <v>18637528</v>
      </c>
    </row>
    <row r="16" spans="1:11">
      <c r="A16" t="s">
        <v>20</v>
      </c>
      <c r="B16" t="s">
        <v>21</v>
      </c>
      <c r="C16" t="s">
        <v>22</v>
      </c>
      <c r="D16" t="s">
        <v>45</v>
      </c>
      <c r="E16" t="s">
        <v>46</v>
      </c>
      <c r="F16" s="2">
        <v>226</v>
      </c>
      <c r="G16" s="2">
        <v>552497</v>
      </c>
      <c r="H16" s="2">
        <v>571</v>
      </c>
      <c r="I16" s="2">
        <v>7001799</v>
      </c>
      <c r="J16" s="2">
        <v>1036</v>
      </c>
      <c r="K16" s="2">
        <v>21367683</v>
      </c>
    </row>
    <row r="17" spans="1:11">
      <c r="A17" t="s">
        <v>20</v>
      </c>
      <c r="B17" t="s">
        <v>21</v>
      </c>
      <c r="C17" t="s">
        <v>22</v>
      </c>
      <c r="D17" t="s">
        <v>47</v>
      </c>
      <c r="E17" t="s">
        <v>48</v>
      </c>
      <c r="F17" s="2">
        <v>356</v>
      </c>
      <c r="G17" s="2">
        <v>819343</v>
      </c>
      <c r="H17" s="2">
        <v>661</v>
      </c>
      <c r="I17" s="2">
        <v>10264621</v>
      </c>
      <c r="J17" s="2">
        <v>1419</v>
      </c>
      <c r="K17" s="2">
        <v>29880353</v>
      </c>
    </row>
    <row r="18" spans="1:11">
      <c r="A18" t="s">
        <v>20</v>
      </c>
      <c r="B18" t="s">
        <v>21</v>
      </c>
      <c r="C18" t="s">
        <v>22</v>
      </c>
      <c r="D18" t="s">
        <v>49</v>
      </c>
      <c r="E18" t="s">
        <v>50</v>
      </c>
      <c r="F18" s="2">
        <v>104</v>
      </c>
      <c r="G18" s="2">
        <v>231220</v>
      </c>
      <c r="H18" s="2">
        <v>244</v>
      </c>
      <c r="I18" s="2">
        <v>3059841</v>
      </c>
      <c r="J18" s="2">
        <v>489</v>
      </c>
      <c r="K18" s="2">
        <v>9113861</v>
      </c>
    </row>
    <row r="19" spans="1:11">
      <c r="A19" t="s">
        <v>20</v>
      </c>
      <c r="B19" t="s">
        <v>21</v>
      </c>
      <c r="C19" t="s">
        <v>22</v>
      </c>
      <c r="D19" t="s">
        <v>51</v>
      </c>
      <c r="E19" t="s">
        <v>52</v>
      </c>
      <c r="F19" s="2">
        <v>382</v>
      </c>
      <c r="G19" s="2">
        <v>579822</v>
      </c>
      <c r="H19" s="2">
        <v>752</v>
      </c>
      <c r="I19" s="2">
        <v>7014914</v>
      </c>
      <c r="J19" s="2">
        <v>1386</v>
      </c>
      <c r="K19" s="2">
        <v>23576861</v>
      </c>
    </row>
    <row r="20" spans="1:11">
      <c r="A20" t="s">
        <v>20</v>
      </c>
      <c r="B20" t="s">
        <v>21</v>
      </c>
      <c r="C20" t="s">
        <v>22</v>
      </c>
      <c r="D20" t="s">
        <v>53</v>
      </c>
      <c r="E20" t="s">
        <v>54</v>
      </c>
      <c r="F20" s="2">
        <v>190</v>
      </c>
      <c r="G20" s="2">
        <v>265573</v>
      </c>
      <c r="H20" s="2">
        <v>324</v>
      </c>
      <c r="I20" s="2">
        <v>3441786</v>
      </c>
      <c r="J20" s="2">
        <v>619</v>
      </c>
      <c r="K20" s="2">
        <v>11136887</v>
      </c>
    </row>
    <row r="21" spans="1:11">
      <c r="A21" t="s">
        <v>20</v>
      </c>
      <c r="B21" t="s">
        <v>21</v>
      </c>
      <c r="C21" t="s">
        <v>22</v>
      </c>
      <c r="D21" t="s">
        <v>55</v>
      </c>
      <c r="E21" t="s">
        <v>56</v>
      </c>
      <c r="F21" s="2">
        <v>27</v>
      </c>
      <c r="G21" s="2">
        <v>26421</v>
      </c>
      <c r="H21" s="2">
        <v>47</v>
      </c>
      <c r="I21" s="2">
        <v>435950</v>
      </c>
      <c r="J21" s="2">
        <v>96</v>
      </c>
      <c r="K21" s="2">
        <v>1365011</v>
      </c>
    </row>
    <row r="22" spans="1:11">
      <c r="A22" t="s">
        <v>20</v>
      </c>
      <c r="B22" t="s">
        <v>21</v>
      </c>
      <c r="C22" t="s">
        <v>22</v>
      </c>
      <c r="D22" t="s">
        <v>57</v>
      </c>
      <c r="E22" t="s">
        <v>58</v>
      </c>
      <c r="F22" s="2">
        <v>601</v>
      </c>
      <c r="G22" s="2">
        <v>2162667</v>
      </c>
      <c r="H22" s="2">
        <v>1301</v>
      </c>
      <c r="I22" s="2">
        <v>24564732</v>
      </c>
      <c r="J22" s="2">
        <v>2823</v>
      </c>
      <c r="K22" s="2">
        <v>72061709</v>
      </c>
    </row>
    <row r="23" spans="1:11">
      <c r="A23" t="s">
        <v>20</v>
      </c>
      <c r="B23" t="s">
        <v>21</v>
      </c>
      <c r="C23" t="s">
        <v>22</v>
      </c>
      <c r="D23" t="s">
        <v>59</v>
      </c>
      <c r="E23" t="s">
        <v>60</v>
      </c>
      <c r="F23" s="2">
        <v>234</v>
      </c>
      <c r="G23" s="2">
        <v>406500</v>
      </c>
      <c r="H23" s="2">
        <v>477</v>
      </c>
      <c r="I23" s="2">
        <v>4259447</v>
      </c>
      <c r="J23" s="2">
        <v>1014</v>
      </c>
      <c r="K23" s="2">
        <v>11804956</v>
      </c>
    </row>
    <row r="24" spans="1:11">
      <c r="A24" t="s">
        <v>20</v>
      </c>
      <c r="B24" t="s">
        <v>21</v>
      </c>
      <c r="C24" t="s">
        <v>22</v>
      </c>
      <c r="D24" t="s">
        <v>61</v>
      </c>
      <c r="E24" t="s">
        <v>62</v>
      </c>
      <c r="F24" s="2">
        <v>339</v>
      </c>
      <c r="G24" s="2">
        <v>356938</v>
      </c>
      <c r="H24" s="2">
        <v>622</v>
      </c>
      <c r="I24" s="2">
        <v>4176549</v>
      </c>
      <c r="J24" s="2">
        <v>1170</v>
      </c>
      <c r="K24" s="2">
        <v>12894865</v>
      </c>
    </row>
    <row r="25" spans="1:11">
      <c r="A25" t="s">
        <v>20</v>
      </c>
      <c r="B25" t="s">
        <v>21</v>
      </c>
      <c r="C25" t="s">
        <v>22</v>
      </c>
      <c r="D25" t="s">
        <v>63</v>
      </c>
      <c r="E25" t="s">
        <v>64</v>
      </c>
      <c r="F25" s="2">
        <v>796</v>
      </c>
      <c r="G25" s="2">
        <v>938757</v>
      </c>
      <c r="H25" s="2">
        <v>2619</v>
      </c>
      <c r="I25" s="2">
        <v>11610681</v>
      </c>
      <c r="J25" s="2">
        <v>6761</v>
      </c>
      <c r="K25" s="2">
        <v>33353530</v>
      </c>
    </row>
    <row r="26" spans="1:11">
      <c r="A26" t="s">
        <v>20</v>
      </c>
      <c r="B26" t="s">
        <v>21</v>
      </c>
      <c r="C26" t="s">
        <v>22</v>
      </c>
      <c r="D26" t="s">
        <v>65</v>
      </c>
      <c r="E26" t="s">
        <v>66</v>
      </c>
      <c r="F26" s="2">
        <v>127</v>
      </c>
      <c r="G26" s="2">
        <v>310591</v>
      </c>
      <c r="H26" s="2">
        <v>266</v>
      </c>
      <c r="I26" s="2">
        <v>3946269</v>
      </c>
      <c r="J26" s="2">
        <v>471</v>
      </c>
      <c r="K26" s="2">
        <v>11168417</v>
      </c>
    </row>
    <row r="27" spans="1:11">
      <c r="A27" t="s">
        <v>20</v>
      </c>
      <c r="B27" t="s">
        <v>21</v>
      </c>
      <c r="C27" t="s">
        <v>22</v>
      </c>
      <c r="D27" t="s">
        <v>67</v>
      </c>
      <c r="E27" t="s">
        <v>68</v>
      </c>
      <c r="F27" s="2">
        <v>21</v>
      </c>
      <c r="G27" s="2">
        <v>22278</v>
      </c>
      <c r="H27" s="2">
        <v>46</v>
      </c>
      <c r="I27" s="2">
        <v>322955</v>
      </c>
      <c r="J27" s="2">
        <v>103</v>
      </c>
      <c r="K27" s="2">
        <v>1078239</v>
      </c>
    </row>
    <row r="28" spans="1:11">
      <c r="A28" t="s">
        <v>20</v>
      </c>
      <c r="B28" t="s">
        <v>21</v>
      </c>
      <c r="C28" t="s">
        <v>22</v>
      </c>
      <c r="D28" t="s">
        <v>69</v>
      </c>
      <c r="E28" t="s">
        <v>70</v>
      </c>
      <c r="F28" s="2">
        <v>1</v>
      </c>
      <c r="G28" s="2">
        <v>3</v>
      </c>
      <c r="H28" s="2">
        <v>1</v>
      </c>
      <c r="I28" s="2">
        <v>34</v>
      </c>
      <c r="J28" s="2">
        <v>5</v>
      </c>
      <c r="K28" s="2">
        <v>181</v>
      </c>
    </row>
    <row r="29" spans="1:11">
      <c r="A29" t="s">
        <v>20</v>
      </c>
      <c r="B29" t="s">
        <v>21</v>
      </c>
      <c r="C29" t="s">
        <v>22</v>
      </c>
      <c r="D29" t="s">
        <v>71</v>
      </c>
      <c r="E29" t="s">
        <v>72</v>
      </c>
      <c r="F29" s="2">
        <v>0</v>
      </c>
      <c r="G29" s="2">
        <v>0</v>
      </c>
      <c r="H29" s="2">
        <v>1</v>
      </c>
      <c r="I29" s="2">
        <v>4</v>
      </c>
      <c r="J29" s="2">
        <v>2</v>
      </c>
      <c r="K29" s="2">
        <v>78</v>
      </c>
    </row>
    <row r="30" spans="1:11">
      <c r="A30" t="s">
        <v>20</v>
      </c>
      <c r="B30" t="s">
        <v>21</v>
      </c>
      <c r="C30" t="s">
        <v>22</v>
      </c>
      <c r="D30" t="s">
        <v>73</v>
      </c>
      <c r="E30" t="s">
        <v>74</v>
      </c>
      <c r="F30" s="2">
        <v>4</v>
      </c>
      <c r="G30" s="2">
        <v>47</v>
      </c>
      <c r="H30" s="2">
        <v>5</v>
      </c>
      <c r="I30" s="2">
        <v>2366</v>
      </c>
      <c r="J30" s="2">
        <v>13</v>
      </c>
      <c r="K30" s="2">
        <v>14408</v>
      </c>
    </row>
    <row r="31" spans="1:11">
      <c r="A31" t="s">
        <v>20</v>
      </c>
      <c r="B31" t="s">
        <v>21</v>
      </c>
      <c r="C31" t="s">
        <v>75</v>
      </c>
      <c r="D31" t="s">
        <v>76</v>
      </c>
      <c r="E31" t="s">
        <v>77</v>
      </c>
      <c r="F31" s="2">
        <v>330</v>
      </c>
      <c r="G31" s="2">
        <v>37673</v>
      </c>
      <c r="H31" s="2">
        <v>944</v>
      </c>
      <c r="I31" s="2">
        <v>500086</v>
      </c>
      <c r="J31" s="2">
        <v>1922</v>
      </c>
      <c r="K31" s="2">
        <v>1381320</v>
      </c>
    </row>
    <row r="32" spans="1:11">
      <c r="A32" t="s">
        <v>20</v>
      </c>
      <c r="B32" t="s">
        <v>21</v>
      </c>
      <c r="C32" t="s">
        <v>75</v>
      </c>
      <c r="D32" t="s">
        <v>78</v>
      </c>
      <c r="E32" t="s">
        <v>79</v>
      </c>
      <c r="F32" s="2">
        <v>99</v>
      </c>
      <c r="G32" s="2">
        <v>143099</v>
      </c>
      <c r="H32" s="2">
        <v>226</v>
      </c>
      <c r="I32" s="2">
        <v>1708541</v>
      </c>
      <c r="J32" s="2">
        <v>417</v>
      </c>
      <c r="K32" s="2">
        <v>5296444</v>
      </c>
    </row>
    <row r="33" spans="1:11">
      <c r="A33" t="s">
        <v>20</v>
      </c>
      <c r="B33" t="s">
        <v>21</v>
      </c>
      <c r="C33" t="s">
        <v>75</v>
      </c>
      <c r="D33" t="s">
        <v>80</v>
      </c>
      <c r="E33" t="s">
        <v>81</v>
      </c>
      <c r="F33" s="2">
        <v>151</v>
      </c>
      <c r="G33" s="2">
        <v>191301</v>
      </c>
      <c r="H33" s="2">
        <v>324</v>
      </c>
      <c r="I33" s="2">
        <v>2563635</v>
      </c>
      <c r="J33" s="2">
        <v>687</v>
      </c>
      <c r="K33" s="2">
        <v>7842812</v>
      </c>
    </row>
    <row r="34" spans="1:11">
      <c r="A34" t="s">
        <v>20</v>
      </c>
      <c r="B34" t="s">
        <v>21</v>
      </c>
      <c r="C34" t="s">
        <v>75</v>
      </c>
      <c r="D34" t="s">
        <v>82</v>
      </c>
      <c r="E34" t="s">
        <v>83</v>
      </c>
      <c r="F34" s="2">
        <v>406</v>
      </c>
      <c r="G34" s="2">
        <v>174007</v>
      </c>
      <c r="H34" s="2">
        <v>767</v>
      </c>
      <c r="I34" s="2">
        <v>2047924</v>
      </c>
      <c r="J34" s="2">
        <v>1382</v>
      </c>
      <c r="K34" s="2">
        <v>5977807</v>
      </c>
    </row>
    <row r="35" spans="1:11">
      <c r="A35" t="s">
        <v>20</v>
      </c>
      <c r="B35" t="s">
        <v>21</v>
      </c>
      <c r="C35" t="s">
        <v>75</v>
      </c>
      <c r="D35" t="s">
        <v>84</v>
      </c>
      <c r="E35" t="s">
        <v>85</v>
      </c>
      <c r="F35" s="2">
        <v>208</v>
      </c>
      <c r="G35" s="2">
        <v>135255</v>
      </c>
      <c r="H35" s="2">
        <v>340</v>
      </c>
      <c r="I35" s="2">
        <v>1738206</v>
      </c>
      <c r="J35" s="2">
        <v>508</v>
      </c>
      <c r="K35" s="2">
        <v>5144941</v>
      </c>
    </row>
    <row r="36" spans="1:11">
      <c r="A36" t="s">
        <v>20</v>
      </c>
      <c r="B36" t="s">
        <v>21</v>
      </c>
      <c r="C36" t="s">
        <v>75</v>
      </c>
      <c r="D36" t="s">
        <v>86</v>
      </c>
      <c r="E36" t="s">
        <v>87</v>
      </c>
      <c r="F36" s="2">
        <v>20</v>
      </c>
      <c r="G36" s="2">
        <v>2268</v>
      </c>
      <c r="H36" s="2">
        <v>371</v>
      </c>
      <c r="I36" s="2">
        <v>208286</v>
      </c>
      <c r="J36" s="2">
        <v>512</v>
      </c>
      <c r="K36" s="2">
        <v>605224</v>
      </c>
    </row>
    <row r="37" spans="1:11">
      <c r="A37" t="s">
        <v>20</v>
      </c>
      <c r="B37" t="s">
        <v>21</v>
      </c>
      <c r="C37" t="s">
        <v>75</v>
      </c>
      <c r="D37" t="s">
        <v>88</v>
      </c>
      <c r="E37" t="s">
        <v>89</v>
      </c>
      <c r="F37" s="2">
        <v>622</v>
      </c>
      <c r="G37" s="2">
        <v>367439</v>
      </c>
      <c r="H37" s="2">
        <v>1005</v>
      </c>
      <c r="I37" s="2">
        <v>4722391</v>
      </c>
      <c r="J37" s="2">
        <v>1817</v>
      </c>
      <c r="K37" s="2">
        <v>13968321</v>
      </c>
    </row>
    <row r="38" spans="1:11">
      <c r="A38" t="s">
        <v>20</v>
      </c>
      <c r="B38" t="s">
        <v>21</v>
      </c>
      <c r="C38" t="s">
        <v>75</v>
      </c>
      <c r="D38" t="s">
        <v>90</v>
      </c>
      <c r="E38" t="s">
        <v>91</v>
      </c>
      <c r="F38" s="2">
        <v>658</v>
      </c>
      <c r="G38" s="2">
        <v>272187</v>
      </c>
      <c r="H38" s="2">
        <v>1083</v>
      </c>
      <c r="I38" s="2">
        <v>3215900</v>
      </c>
      <c r="J38" s="2">
        <v>1727</v>
      </c>
      <c r="K38" s="2">
        <v>9113602</v>
      </c>
    </row>
    <row r="39" spans="1:11">
      <c r="A39" t="s">
        <v>20</v>
      </c>
      <c r="B39" t="s">
        <v>21</v>
      </c>
      <c r="C39" t="s">
        <v>75</v>
      </c>
      <c r="D39" t="s">
        <v>92</v>
      </c>
      <c r="E39" t="s">
        <v>93</v>
      </c>
      <c r="F39" s="2">
        <v>478</v>
      </c>
      <c r="G39" s="2">
        <v>173378</v>
      </c>
      <c r="H39" s="2">
        <v>821</v>
      </c>
      <c r="I39" s="2">
        <v>2307317</v>
      </c>
      <c r="J39" s="2">
        <v>1301</v>
      </c>
      <c r="K39" s="2">
        <v>7404766</v>
      </c>
    </row>
    <row r="40" spans="1:11">
      <c r="A40" t="s">
        <v>20</v>
      </c>
      <c r="B40" t="s">
        <v>21</v>
      </c>
      <c r="C40" t="s">
        <v>75</v>
      </c>
      <c r="D40" t="s">
        <v>94</v>
      </c>
      <c r="E40" t="s">
        <v>95</v>
      </c>
      <c r="F40" s="2">
        <v>353</v>
      </c>
      <c r="G40" s="2">
        <v>533812</v>
      </c>
      <c r="H40" s="2">
        <v>694</v>
      </c>
      <c r="I40" s="2">
        <v>5507429</v>
      </c>
      <c r="J40" s="2">
        <v>1241</v>
      </c>
      <c r="K40" s="2">
        <v>15547286</v>
      </c>
    </row>
    <row r="41" spans="1:11">
      <c r="A41" t="s">
        <v>20</v>
      </c>
      <c r="B41" t="s">
        <v>21</v>
      </c>
      <c r="C41" t="s">
        <v>75</v>
      </c>
      <c r="D41" t="s">
        <v>96</v>
      </c>
      <c r="E41" t="s">
        <v>97</v>
      </c>
      <c r="F41" s="2">
        <v>151</v>
      </c>
      <c r="G41" s="2">
        <v>110769</v>
      </c>
      <c r="H41" s="2">
        <v>238</v>
      </c>
      <c r="I41" s="2">
        <v>1353035</v>
      </c>
      <c r="J41" s="2">
        <v>419</v>
      </c>
      <c r="K41" s="2">
        <v>4140852</v>
      </c>
    </row>
    <row r="42" spans="1:11">
      <c r="A42" t="s">
        <v>20</v>
      </c>
      <c r="B42" t="s">
        <v>21</v>
      </c>
      <c r="C42" t="s">
        <v>75</v>
      </c>
      <c r="D42" t="s">
        <v>98</v>
      </c>
      <c r="E42" t="s">
        <v>99</v>
      </c>
      <c r="F42" s="2">
        <v>288</v>
      </c>
      <c r="G42" s="2">
        <v>139037</v>
      </c>
      <c r="H42" s="2">
        <v>425</v>
      </c>
      <c r="I42" s="2">
        <v>1626114</v>
      </c>
      <c r="J42" s="2">
        <v>645</v>
      </c>
      <c r="K42" s="2">
        <v>5024948</v>
      </c>
    </row>
    <row r="43" spans="1:11">
      <c r="A43" t="s">
        <v>20</v>
      </c>
      <c r="B43" t="s">
        <v>21</v>
      </c>
      <c r="C43" t="s">
        <v>75</v>
      </c>
      <c r="D43" t="s">
        <v>100</v>
      </c>
      <c r="E43" t="s">
        <v>101</v>
      </c>
      <c r="F43" s="2">
        <v>404</v>
      </c>
      <c r="G43" s="2">
        <v>132675</v>
      </c>
      <c r="H43" s="2">
        <v>686</v>
      </c>
      <c r="I43" s="2">
        <v>1614837</v>
      </c>
      <c r="J43" s="2">
        <v>1293</v>
      </c>
      <c r="K43" s="2">
        <v>4563524</v>
      </c>
    </row>
    <row r="44" spans="1:11">
      <c r="A44" t="s">
        <v>20</v>
      </c>
      <c r="B44" t="s">
        <v>21</v>
      </c>
      <c r="C44" t="s">
        <v>75</v>
      </c>
      <c r="D44" t="s">
        <v>102</v>
      </c>
      <c r="E44" t="s">
        <v>103</v>
      </c>
      <c r="F44" s="2">
        <v>13</v>
      </c>
      <c r="G44" s="2">
        <v>3592</v>
      </c>
      <c r="H44" s="2">
        <v>55</v>
      </c>
      <c r="I44" s="2">
        <v>66721</v>
      </c>
      <c r="J44" s="2">
        <v>115</v>
      </c>
      <c r="K44" s="2">
        <v>208866</v>
      </c>
    </row>
    <row r="45" spans="1:11">
      <c r="A45" t="s">
        <v>20</v>
      </c>
      <c r="B45" t="s">
        <v>21</v>
      </c>
      <c r="C45" t="s">
        <v>75</v>
      </c>
      <c r="D45" t="s">
        <v>104</v>
      </c>
      <c r="E45" t="s">
        <v>105</v>
      </c>
      <c r="F45" s="2">
        <v>403</v>
      </c>
      <c r="G45" s="2">
        <v>340038</v>
      </c>
      <c r="H45" s="2">
        <v>634</v>
      </c>
      <c r="I45" s="2">
        <v>4457371</v>
      </c>
      <c r="J45" s="2">
        <v>1014</v>
      </c>
      <c r="K45" s="2">
        <v>12918834</v>
      </c>
    </row>
    <row r="46" spans="1:11">
      <c r="A46" t="s">
        <v>20</v>
      </c>
      <c r="B46" t="s">
        <v>21</v>
      </c>
      <c r="C46" t="s">
        <v>75</v>
      </c>
      <c r="D46" t="s">
        <v>106</v>
      </c>
      <c r="E46" t="s">
        <v>107</v>
      </c>
      <c r="F46" s="2">
        <v>241</v>
      </c>
      <c r="G46" s="2">
        <v>103285</v>
      </c>
      <c r="H46" s="2">
        <v>545</v>
      </c>
      <c r="I46" s="2">
        <v>1300578</v>
      </c>
      <c r="J46" s="2">
        <v>771</v>
      </c>
      <c r="K46" s="2">
        <v>3805701</v>
      </c>
    </row>
    <row r="47" spans="1:11">
      <c r="A47" t="s">
        <v>20</v>
      </c>
      <c r="B47" t="s">
        <v>21</v>
      </c>
      <c r="C47" t="s">
        <v>75</v>
      </c>
      <c r="D47" t="s">
        <v>108</v>
      </c>
      <c r="E47" t="s">
        <v>109</v>
      </c>
      <c r="F47" s="2">
        <v>663</v>
      </c>
      <c r="G47" s="2">
        <v>246994</v>
      </c>
      <c r="H47" s="2">
        <v>1038</v>
      </c>
      <c r="I47" s="2">
        <v>3420031</v>
      </c>
      <c r="J47" s="2">
        <v>1674</v>
      </c>
      <c r="K47" s="2">
        <v>10148661</v>
      </c>
    </row>
    <row r="48" spans="1:11">
      <c r="A48" t="s">
        <v>20</v>
      </c>
      <c r="B48" t="s">
        <v>21</v>
      </c>
      <c r="C48" t="s">
        <v>75</v>
      </c>
      <c r="D48" t="s">
        <v>110</v>
      </c>
      <c r="E48" t="s">
        <v>111</v>
      </c>
      <c r="F48" s="2">
        <v>215</v>
      </c>
      <c r="G48" s="2">
        <v>195806</v>
      </c>
      <c r="H48" s="2">
        <v>423</v>
      </c>
      <c r="I48" s="2">
        <v>2038459</v>
      </c>
      <c r="J48" s="2">
        <v>626</v>
      </c>
      <c r="K48" s="2">
        <v>6025892</v>
      </c>
    </row>
    <row r="49" spans="1:11">
      <c r="A49" t="s">
        <v>20</v>
      </c>
      <c r="B49" t="s">
        <v>21</v>
      </c>
      <c r="C49" t="s">
        <v>75</v>
      </c>
      <c r="D49" t="s">
        <v>112</v>
      </c>
      <c r="E49" t="s">
        <v>113</v>
      </c>
      <c r="F49" s="2">
        <v>270</v>
      </c>
      <c r="G49" s="2">
        <v>387208</v>
      </c>
      <c r="H49" s="2">
        <v>535</v>
      </c>
      <c r="I49" s="2">
        <v>4715538</v>
      </c>
      <c r="J49" s="2">
        <v>963</v>
      </c>
      <c r="K49" s="2">
        <v>13893328</v>
      </c>
    </row>
    <row r="50" spans="1:11">
      <c r="A50" t="s">
        <v>20</v>
      </c>
      <c r="B50" t="s">
        <v>21</v>
      </c>
      <c r="C50" t="s">
        <v>75</v>
      </c>
      <c r="D50" t="s">
        <v>114</v>
      </c>
      <c r="E50" t="s">
        <v>115</v>
      </c>
      <c r="F50" s="2">
        <v>113</v>
      </c>
      <c r="G50" s="2">
        <v>27348</v>
      </c>
      <c r="H50" s="2">
        <v>186</v>
      </c>
      <c r="I50" s="2">
        <v>445903</v>
      </c>
      <c r="J50" s="2">
        <v>277</v>
      </c>
      <c r="K50" s="2">
        <v>1406719</v>
      </c>
    </row>
    <row r="51" spans="1:11">
      <c r="A51" t="s">
        <v>20</v>
      </c>
      <c r="B51" t="s">
        <v>21</v>
      </c>
      <c r="C51" t="s">
        <v>75</v>
      </c>
      <c r="D51" t="s">
        <v>116</v>
      </c>
      <c r="E51" t="s">
        <v>117</v>
      </c>
      <c r="F51" s="2">
        <v>334</v>
      </c>
      <c r="G51" s="2">
        <v>200397</v>
      </c>
      <c r="H51" s="2">
        <v>447</v>
      </c>
      <c r="I51" s="2">
        <v>2500906</v>
      </c>
      <c r="J51" s="2">
        <v>645</v>
      </c>
      <c r="K51" s="2">
        <v>7288022</v>
      </c>
    </row>
    <row r="52" spans="1:11">
      <c r="A52" t="s">
        <v>20</v>
      </c>
      <c r="B52" t="s">
        <v>21</v>
      </c>
      <c r="C52" t="s">
        <v>75</v>
      </c>
      <c r="D52" t="s">
        <v>118</v>
      </c>
      <c r="E52" t="s">
        <v>119</v>
      </c>
      <c r="F52" s="2">
        <v>174</v>
      </c>
      <c r="G52" s="2">
        <v>324254</v>
      </c>
      <c r="H52" s="2">
        <v>231</v>
      </c>
      <c r="I52" s="2">
        <v>3707415</v>
      </c>
      <c r="J52" s="2">
        <v>344</v>
      </c>
      <c r="K52" s="2">
        <v>10626869</v>
      </c>
    </row>
    <row r="53" spans="1:11">
      <c r="A53" t="s">
        <v>20</v>
      </c>
      <c r="B53" t="s">
        <v>21</v>
      </c>
      <c r="C53" t="s">
        <v>75</v>
      </c>
      <c r="D53" t="s">
        <v>120</v>
      </c>
      <c r="E53" t="s">
        <v>121</v>
      </c>
      <c r="F53" s="2">
        <v>186</v>
      </c>
      <c r="G53" s="2">
        <v>955083</v>
      </c>
      <c r="H53" s="2">
        <v>557</v>
      </c>
      <c r="I53" s="2">
        <v>11654133</v>
      </c>
      <c r="J53" s="2">
        <v>972</v>
      </c>
      <c r="K53" s="2">
        <v>33758950</v>
      </c>
    </row>
    <row r="54" spans="1:11">
      <c r="A54" t="s">
        <v>20</v>
      </c>
      <c r="B54" t="s">
        <v>21</v>
      </c>
      <c r="C54" t="s">
        <v>75</v>
      </c>
      <c r="D54" t="s">
        <v>122</v>
      </c>
      <c r="E54" t="s">
        <v>123</v>
      </c>
      <c r="F54" s="2">
        <v>325</v>
      </c>
      <c r="G54" s="2">
        <v>522276</v>
      </c>
      <c r="H54" s="2">
        <v>481</v>
      </c>
      <c r="I54" s="2">
        <v>6329225</v>
      </c>
      <c r="J54" s="2">
        <v>779</v>
      </c>
      <c r="K54" s="2">
        <v>18726339</v>
      </c>
    </row>
    <row r="55" spans="1:11">
      <c r="A55" t="s">
        <v>20</v>
      </c>
      <c r="B55" t="s">
        <v>21</v>
      </c>
      <c r="C55" t="s">
        <v>75</v>
      </c>
      <c r="D55" t="s">
        <v>124</v>
      </c>
      <c r="E55" t="s">
        <v>125</v>
      </c>
      <c r="F55" s="2">
        <v>424</v>
      </c>
      <c r="G55" s="2">
        <v>625803</v>
      </c>
      <c r="H55" s="2">
        <v>572</v>
      </c>
      <c r="I55" s="2">
        <v>8242050</v>
      </c>
      <c r="J55" s="2">
        <v>852</v>
      </c>
      <c r="K55" s="2">
        <v>24717855</v>
      </c>
    </row>
    <row r="56" spans="1:11">
      <c r="A56" t="s">
        <v>20</v>
      </c>
      <c r="B56" t="s">
        <v>21</v>
      </c>
      <c r="C56" t="s">
        <v>75</v>
      </c>
      <c r="D56" t="s">
        <v>126</v>
      </c>
      <c r="E56" t="s">
        <v>127</v>
      </c>
      <c r="F56" s="2">
        <v>441</v>
      </c>
      <c r="G56" s="2">
        <v>181261</v>
      </c>
      <c r="H56" s="2">
        <v>679</v>
      </c>
      <c r="I56" s="2">
        <v>2138763</v>
      </c>
      <c r="J56" s="2">
        <v>1109</v>
      </c>
      <c r="K56" s="2">
        <v>6316004</v>
      </c>
    </row>
    <row r="57" spans="1:11">
      <c r="A57" t="s">
        <v>20</v>
      </c>
      <c r="B57" t="s">
        <v>21</v>
      </c>
      <c r="C57" t="s">
        <v>75</v>
      </c>
      <c r="D57" t="s">
        <v>128</v>
      </c>
      <c r="E57" t="s">
        <v>129</v>
      </c>
      <c r="F57" s="2">
        <v>450</v>
      </c>
      <c r="G57" s="2">
        <v>525668</v>
      </c>
      <c r="H57" s="2">
        <v>595</v>
      </c>
      <c r="I57" s="2">
        <v>6303524</v>
      </c>
      <c r="J57" s="2">
        <v>898</v>
      </c>
      <c r="K57" s="2">
        <v>18526232</v>
      </c>
    </row>
    <row r="58" spans="1:11">
      <c r="A58" t="s">
        <v>20</v>
      </c>
      <c r="B58" t="s">
        <v>21</v>
      </c>
      <c r="C58" t="s">
        <v>75</v>
      </c>
      <c r="D58" t="s">
        <v>130</v>
      </c>
      <c r="E58" t="s">
        <v>131</v>
      </c>
      <c r="F58" s="2">
        <v>754</v>
      </c>
      <c r="G58" s="2">
        <v>356965</v>
      </c>
      <c r="H58" s="2">
        <v>1147</v>
      </c>
      <c r="I58" s="2">
        <v>5208203</v>
      </c>
      <c r="J58" s="2">
        <v>1762</v>
      </c>
      <c r="K58" s="2">
        <v>15686556</v>
      </c>
    </row>
    <row r="59" spans="1:11">
      <c r="A59" t="s">
        <v>20</v>
      </c>
      <c r="B59" t="s">
        <v>21</v>
      </c>
      <c r="C59" t="s">
        <v>75</v>
      </c>
      <c r="D59" t="s">
        <v>132</v>
      </c>
      <c r="E59" t="s">
        <v>133</v>
      </c>
      <c r="F59" s="2">
        <v>236</v>
      </c>
      <c r="G59" s="2">
        <v>102027</v>
      </c>
      <c r="H59" s="2">
        <v>390</v>
      </c>
      <c r="I59" s="2">
        <v>1174607</v>
      </c>
      <c r="J59" s="2">
        <v>645</v>
      </c>
      <c r="K59" s="2">
        <v>3766840</v>
      </c>
    </row>
    <row r="60" spans="1:11">
      <c r="A60" t="s">
        <v>20</v>
      </c>
      <c r="B60" t="s">
        <v>21</v>
      </c>
      <c r="C60" t="s">
        <v>75</v>
      </c>
      <c r="D60" t="s">
        <v>134</v>
      </c>
      <c r="E60" t="s">
        <v>135</v>
      </c>
      <c r="F60" s="2">
        <v>686</v>
      </c>
      <c r="G60" s="2">
        <v>390555</v>
      </c>
      <c r="H60" s="2">
        <v>1350</v>
      </c>
      <c r="I60" s="2">
        <v>6196323</v>
      </c>
      <c r="J60" s="2">
        <v>2201</v>
      </c>
      <c r="K60" s="2">
        <v>17537556</v>
      </c>
    </row>
    <row r="61" spans="1:11">
      <c r="A61" t="s">
        <v>20</v>
      </c>
      <c r="B61" t="s">
        <v>21</v>
      </c>
      <c r="C61" t="s">
        <v>75</v>
      </c>
      <c r="D61" t="s">
        <v>136</v>
      </c>
      <c r="E61" t="s">
        <v>137</v>
      </c>
      <c r="F61" s="2">
        <v>152</v>
      </c>
      <c r="G61" s="2">
        <v>351445</v>
      </c>
      <c r="H61" s="2">
        <v>315</v>
      </c>
      <c r="I61" s="2">
        <v>4118030</v>
      </c>
      <c r="J61" s="2">
        <v>521</v>
      </c>
      <c r="K61" s="2">
        <v>12103235</v>
      </c>
    </row>
    <row r="62" spans="1:11">
      <c r="A62" t="s">
        <v>20</v>
      </c>
      <c r="B62" t="s">
        <v>21</v>
      </c>
      <c r="C62" t="s">
        <v>75</v>
      </c>
      <c r="D62" t="s">
        <v>138</v>
      </c>
      <c r="E62" t="s">
        <v>139</v>
      </c>
      <c r="F62" s="2">
        <v>310</v>
      </c>
      <c r="G62" s="2">
        <v>368813</v>
      </c>
      <c r="H62" s="2">
        <v>606</v>
      </c>
      <c r="I62" s="2">
        <v>4544570</v>
      </c>
      <c r="J62" s="2">
        <v>1038</v>
      </c>
      <c r="K62" s="2">
        <v>13752215</v>
      </c>
    </row>
    <row r="63" spans="1:11">
      <c r="A63" t="s">
        <v>20</v>
      </c>
      <c r="B63" t="s">
        <v>21</v>
      </c>
      <c r="C63" t="s">
        <v>75</v>
      </c>
      <c r="D63" t="s">
        <v>140</v>
      </c>
      <c r="E63" t="s">
        <v>141</v>
      </c>
      <c r="F63" s="2">
        <v>73</v>
      </c>
      <c r="G63" s="2">
        <v>17128</v>
      </c>
      <c r="H63" s="2">
        <v>125</v>
      </c>
      <c r="I63" s="2">
        <v>376989</v>
      </c>
      <c r="J63" s="2">
        <v>217</v>
      </c>
      <c r="K63" s="2">
        <v>961791</v>
      </c>
    </row>
    <row r="64" spans="1:11">
      <c r="A64" t="s">
        <v>20</v>
      </c>
      <c r="B64" t="s">
        <v>21</v>
      </c>
      <c r="C64" t="s">
        <v>75</v>
      </c>
      <c r="D64" t="s">
        <v>142</v>
      </c>
      <c r="E64" t="s">
        <v>143</v>
      </c>
      <c r="F64" s="2">
        <v>54</v>
      </c>
      <c r="G64" s="2">
        <v>9116</v>
      </c>
      <c r="H64" s="2">
        <v>120</v>
      </c>
      <c r="I64" s="2">
        <v>106375</v>
      </c>
      <c r="J64" s="2">
        <v>262</v>
      </c>
      <c r="K64" s="2">
        <v>401945</v>
      </c>
    </row>
    <row r="65" spans="1:11">
      <c r="A65" t="s">
        <v>20</v>
      </c>
      <c r="B65" t="s">
        <v>21</v>
      </c>
      <c r="C65" t="s">
        <v>75</v>
      </c>
      <c r="D65" t="s">
        <v>144</v>
      </c>
      <c r="E65" t="s">
        <v>145</v>
      </c>
      <c r="F65" s="2">
        <v>161</v>
      </c>
      <c r="G65" s="2">
        <v>18059</v>
      </c>
      <c r="H65" s="2">
        <v>241</v>
      </c>
      <c r="I65" s="2">
        <v>291038</v>
      </c>
      <c r="J65" s="2">
        <v>329</v>
      </c>
      <c r="K65" s="2">
        <v>825205</v>
      </c>
    </row>
    <row r="66" spans="1:11">
      <c r="A66" t="s">
        <v>20</v>
      </c>
      <c r="B66" t="s">
        <v>21</v>
      </c>
      <c r="C66" t="s">
        <v>75</v>
      </c>
      <c r="D66" t="s">
        <v>146</v>
      </c>
      <c r="E66" t="s">
        <v>147</v>
      </c>
      <c r="F66" s="2">
        <v>35</v>
      </c>
      <c r="G66" s="2">
        <v>8855</v>
      </c>
      <c r="H66" s="2">
        <v>574</v>
      </c>
      <c r="I66" s="2">
        <v>479718</v>
      </c>
      <c r="J66" s="2">
        <v>762</v>
      </c>
      <c r="K66" s="2">
        <v>1351049</v>
      </c>
    </row>
    <row r="67" spans="1:11">
      <c r="A67" t="s">
        <v>20</v>
      </c>
      <c r="B67" t="s">
        <v>21</v>
      </c>
      <c r="C67" t="s">
        <v>75</v>
      </c>
      <c r="D67" t="s">
        <v>148</v>
      </c>
      <c r="E67" t="s">
        <v>149</v>
      </c>
      <c r="F67" s="2">
        <v>95</v>
      </c>
      <c r="G67" s="2">
        <v>329855</v>
      </c>
      <c r="H67" s="2">
        <v>252</v>
      </c>
      <c r="I67" s="2">
        <v>4146061</v>
      </c>
      <c r="J67" s="2">
        <v>740</v>
      </c>
      <c r="K67" s="2">
        <v>14603227</v>
      </c>
    </row>
    <row r="68" spans="1:11">
      <c r="A68" t="s">
        <v>20</v>
      </c>
      <c r="B68" t="s">
        <v>21</v>
      </c>
      <c r="C68" t="s">
        <v>75</v>
      </c>
      <c r="D68" t="s">
        <v>150</v>
      </c>
      <c r="E68" t="s">
        <v>151</v>
      </c>
      <c r="F68" s="2">
        <v>264</v>
      </c>
      <c r="G68" s="2">
        <v>589694</v>
      </c>
      <c r="H68" s="2">
        <v>390</v>
      </c>
      <c r="I68" s="2">
        <v>6928919</v>
      </c>
      <c r="J68" s="2">
        <v>605</v>
      </c>
      <c r="K68" s="2">
        <v>18655954</v>
      </c>
    </row>
    <row r="69" spans="1:11">
      <c r="A69" t="s">
        <v>20</v>
      </c>
      <c r="B69" t="s">
        <v>21</v>
      </c>
      <c r="C69" t="s">
        <v>75</v>
      </c>
      <c r="D69" t="s">
        <v>152</v>
      </c>
      <c r="E69" t="s">
        <v>153</v>
      </c>
      <c r="F69" s="2">
        <v>28</v>
      </c>
      <c r="G69" s="2">
        <v>78995</v>
      </c>
      <c r="H69" s="2">
        <v>50</v>
      </c>
      <c r="I69" s="2">
        <v>920324</v>
      </c>
      <c r="J69" s="2">
        <v>82</v>
      </c>
      <c r="K69" s="2">
        <v>2830801</v>
      </c>
    </row>
    <row r="70" spans="1:11">
      <c r="A70" t="s">
        <v>20</v>
      </c>
      <c r="B70" t="s">
        <v>21</v>
      </c>
      <c r="C70" t="s">
        <v>75</v>
      </c>
      <c r="D70" t="s">
        <v>154</v>
      </c>
      <c r="E70" t="s">
        <v>155</v>
      </c>
      <c r="F70" s="2">
        <v>0</v>
      </c>
      <c r="G70" s="2">
        <v>0</v>
      </c>
      <c r="H70" s="2">
        <v>81</v>
      </c>
      <c r="I70" s="2">
        <v>4095</v>
      </c>
      <c r="J70" s="2">
        <v>128</v>
      </c>
      <c r="K70" s="2">
        <v>11647</v>
      </c>
    </row>
    <row r="71" spans="1:11">
      <c r="A71" t="s">
        <v>20</v>
      </c>
      <c r="B71" t="s">
        <v>21</v>
      </c>
      <c r="C71" t="s">
        <v>75</v>
      </c>
      <c r="D71" t="s">
        <v>156</v>
      </c>
      <c r="E71" t="s">
        <v>157</v>
      </c>
      <c r="F71" s="2">
        <v>26</v>
      </c>
      <c r="G71" s="2">
        <v>252</v>
      </c>
      <c r="H71" s="2">
        <v>48</v>
      </c>
      <c r="I71" s="2">
        <v>4603</v>
      </c>
      <c r="J71" s="2">
        <v>85</v>
      </c>
      <c r="K71" s="2">
        <v>13702</v>
      </c>
    </row>
    <row r="72" spans="1:11">
      <c r="A72" t="s">
        <v>20</v>
      </c>
      <c r="B72" t="s">
        <v>21</v>
      </c>
      <c r="C72" t="s">
        <v>75</v>
      </c>
      <c r="D72" t="s">
        <v>158</v>
      </c>
      <c r="E72" t="s">
        <v>159</v>
      </c>
      <c r="F72" s="2">
        <v>126</v>
      </c>
      <c r="G72" s="2">
        <v>36854</v>
      </c>
      <c r="H72" s="2">
        <v>358</v>
      </c>
      <c r="I72" s="2">
        <v>340191</v>
      </c>
      <c r="J72" s="2">
        <v>643</v>
      </c>
      <c r="K72" s="2">
        <v>952117</v>
      </c>
    </row>
    <row r="73" spans="1:11">
      <c r="A73" t="s">
        <v>20</v>
      </c>
      <c r="B73" t="s">
        <v>21</v>
      </c>
      <c r="C73" t="s">
        <v>75</v>
      </c>
      <c r="D73" t="s">
        <v>160</v>
      </c>
      <c r="E73" t="s">
        <v>161</v>
      </c>
      <c r="F73" s="2">
        <v>10</v>
      </c>
      <c r="G73" s="2">
        <v>363</v>
      </c>
      <c r="H73" s="2">
        <v>17</v>
      </c>
      <c r="I73" s="2">
        <v>3156</v>
      </c>
      <c r="J73" s="2">
        <v>50</v>
      </c>
      <c r="K73" s="2">
        <v>10803</v>
      </c>
    </row>
    <row r="74" spans="1:11">
      <c r="A74" t="s">
        <v>20</v>
      </c>
      <c r="B74" t="s">
        <v>21</v>
      </c>
      <c r="C74" t="s">
        <v>75</v>
      </c>
      <c r="D74" t="s">
        <v>162</v>
      </c>
      <c r="E74" t="s">
        <v>163</v>
      </c>
      <c r="F74" s="2">
        <v>1</v>
      </c>
      <c r="G74" s="2">
        <v>1</v>
      </c>
      <c r="H74" s="2">
        <v>1</v>
      </c>
      <c r="I74" s="2">
        <v>59</v>
      </c>
      <c r="J74" s="2">
        <v>1</v>
      </c>
      <c r="K74" s="2">
        <v>188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tabSelected="1" workbookViewId="0">
      <pane xSplit="2" ySplit="4" topLeftCell="C11" activePane="bottomRight" state="frozen"/>
      <selection pane="bottomRight" activeCell="F18" sqref="F18"/>
      <selection pane="bottomLeft" activeCell="A5" sqref="A5"/>
      <selection pane="topRight" activeCell="F1" sqref="F1"/>
    </sheetView>
  </sheetViews>
  <sheetFormatPr defaultRowHeight="18.75"/>
  <cols>
    <col min="1" max="1" width="28" bestFit="1" customWidth="1"/>
    <col min="2" max="2" width="28.125" bestFit="1" customWidth="1"/>
    <col min="3" max="3" width="14.75" style="2" bestFit="1" customWidth="1"/>
    <col min="4" max="4" width="17.25" style="2" bestFit="1" customWidth="1"/>
    <col min="5" max="5" width="18.875" style="2" bestFit="1" customWidth="1"/>
    <col min="6" max="6" width="21.375" style="2" bestFit="1" customWidth="1"/>
    <col min="7" max="7" width="18.875" style="2" bestFit="1" customWidth="1"/>
    <col min="8" max="8" width="21.375" style="2" bestFit="1" customWidth="1"/>
  </cols>
  <sheetData>
    <row r="1" spans="1:8">
      <c r="B1" s="1" t="s">
        <v>13</v>
      </c>
      <c r="C1" s="2">
        <f t="shared" ref="C1:H1" si="0">SUM(C5:C64)</f>
        <v>705352</v>
      </c>
      <c r="D1" s="2">
        <f t="shared" si="0"/>
        <v>138739063</v>
      </c>
      <c r="E1" s="2">
        <f t="shared" si="0"/>
        <v>1692210</v>
      </c>
      <c r="F1" s="2">
        <f t="shared" si="0"/>
        <v>1663641449</v>
      </c>
      <c r="G1" s="2">
        <f t="shared" si="0"/>
        <v>3390183</v>
      </c>
      <c r="H1" s="2">
        <f t="shared" si="0"/>
        <v>4805862438</v>
      </c>
    </row>
    <row r="3" spans="1:8">
      <c r="C3" s="9" t="s">
        <v>230</v>
      </c>
      <c r="D3" s="9"/>
      <c r="E3" s="10" t="s">
        <v>231</v>
      </c>
      <c r="F3" s="10"/>
      <c r="G3" s="11" t="s">
        <v>232</v>
      </c>
      <c r="H3" s="11"/>
    </row>
    <row r="4" spans="1:8">
      <c r="A4" t="s">
        <v>14</v>
      </c>
      <c r="B4" t="s">
        <v>15</v>
      </c>
      <c r="C4" s="9" t="s">
        <v>233</v>
      </c>
      <c r="D4" s="9" t="s">
        <v>234</v>
      </c>
      <c r="E4" s="10" t="s">
        <v>233</v>
      </c>
      <c r="F4" s="10" t="s">
        <v>234</v>
      </c>
      <c r="G4" s="11" t="s">
        <v>233</v>
      </c>
      <c r="H4" s="11" t="s">
        <v>234</v>
      </c>
    </row>
    <row r="5" spans="1:8">
      <c r="A5" t="s">
        <v>164</v>
      </c>
      <c r="B5" t="s">
        <v>165</v>
      </c>
      <c r="C5" s="2">
        <v>5998</v>
      </c>
      <c r="D5" s="2">
        <v>268324</v>
      </c>
      <c r="E5" s="2">
        <v>12445</v>
      </c>
      <c r="F5" s="2">
        <v>3291544</v>
      </c>
      <c r="G5" s="2">
        <v>23965</v>
      </c>
      <c r="H5" s="2">
        <v>9812701</v>
      </c>
    </row>
    <row r="6" spans="1:8">
      <c r="A6" t="s">
        <v>164</v>
      </c>
      <c r="B6" t="s">
        <v>166</v>
      </c>
      <c r="C6" s="2">
        <v>43306</v>
      </c>
      <c r="D6" s="2">
        <v>510603</v>
      </c>
      <c r="E6" s="2">
        <v>120864</v>
      </c>
      <c r="F6" s="2">
        <v>6244464</v>
      </c>
      <c r="G6" s="2">
        <v>224930</v>
      </c>
      <c r="H6" s="2">
        <v>16835630</v>
      </c>
    </row>
    <row r="7" spans="1:8">
      <c r="A7" t="s">
        <v>164</v>
      </c>
      <c r="B7" t="s">
        <v>167</v>
      </c>
      <c r="C7" s="2">
        <v>10753</v>
      </c>
      <c r="D7" s="2">
        <v>346719</v>
      </c>
      <c r="E7" s="2">
        <v>26423</v>
      </c>
      <c r="F7" s="2">
        <v>5063083</v>
      </c>
      <c r="G7" s="2">
        <v>53692</v>
      </c>
      <c r="H7" s="2">
        <v>16135710</v>
      </c>
    </row>
    <row r="8" spans="1:8">
      <c r="A8" t="s">
        <v>164</v>
      </c>
      <c r="B8" t="s">
        <v>168</v>
      </c>
      <c r="C8" s="2">
        <v>15297</v>
      </c>
      <c r="D8" s="2">
        <v>281321</v>
      </c>
      <c r="E8" s="2">
        <v>35668</v>
      </c>
      <c r="F8" s="2">
        <v>3593031</v>
      </c>
      <c r="G8" s="2">
        <v>71037</v>
      </c>
      <c r="H8" s="2">
        <v>10775020</v>
      </c>
    </row>
    <row r="9" spans="1:8">
      <c r="A9" t="s">
        <v>164</v>
      </c>
      <c r="B9" t="s">
        <v>169</v>
      </c>
      <c r="C9" s="2">
        <v>2129</v>
      </c>
      <c r="D9" s="2">
        <v>22941</v>
      </c>
      <c r="E9" s="2">
        <v>5640</v>
      </c>
      <c r="F9" s="2">
        <v>282100</v>
      </c>
      <c r="G9" s="2">
        <v>10437</v>
      </c>
      <c r="H9" s="2">
        <v>767448</v>
      </c>
    </row>
    <row r="10" spans="1:8">
      <c r="A10" t="s">
        <v>164</v>
      </c>
      <c r="B10" t="s">
        <v>170</v>
      </c>
      <c r="C10" s="2">
        <v>6519</v>
      </c>
      <c r="D10" s="2">
        <v>108593</v>
      </c>
      <c r="E10" s="2">
        <v>21032</v>
      </c>
      <c r="F10" s="2">
        <v>1801086</v>
      </c>
      <c r="G10" s="2">
        <v>47153</v>
      </c>
      <c r="H10" s="2">
        <v>5400175</v>
      </c>
    </row>
    <row r="11" spans="1:8">
      <c r="A11" t="s">
        <v>164</v>
      </c>
      <c r="B11" t="s">
        <v>171</v>
      </c>
      <c r="C11" s="2">
        <v>3224</v>
      </c>
      <c r="D11" s="2">
        <v>110998</v>
      </c>
      <c r="E11" s="2">
        <v>6646</v>
      </c>
      <c r="F11" s="2">
        <v>1388524</v>
      </c>
      <c r="G11" s="2">
        <v>12074</v>
      </c>
      <c r="H11" s="2">
        <v>3808413</v>
      </c>
    </row>
    <row r="12" spans="1:8">
      <c r="A12" t="s">
        <v>172</v>
      </c>
      <c r="B12" t="s">
        <v>173</v>
      </c>
      <c r="C12" s="2">
        <v>2669</v>
      </c>
      <c r="D12" s="2">
        <v>68288</v>
      </c>
      <c r="E12" s="2">
        <v>13340</v>
      </c>
      <c r="F12" s="2">
        <v>1471616</v>
      </c>
      <c r="G12" s="2">
        <v>26727</v>
      </c>
      <c r="H12" s="2">
        <v>3741388</v>
      </c>
    </row>
    <row r="13" spans="1:8">
      <c r="A13" t="s">
        <v>172</v>
      </c>
      <c r="B13" t="s">
        <v>174</v>
      </c>
      <c r="C13" s="2">
        <v>11</v>
      </c>
      <c r="D13" s="2">
        <v>11</v>
      </c>
      <c r="E13" s="2">
        <v>55</v>
      </c>
      <c r="F13" s="2">
        <v>556</v>
      </c>
      <c r="G13" s="2">
        <v>56</v>
      </c>
      <c r="H13" s="2">
        <v>603</v>
      </c>
    </row>
    <row r="14" spans="1:8">
      <c r="A14" t="s">
        <v>172</v>
      </c>
      <c r="B14" t="s">
        <v>175</v>
      </c>
      <c r="C14" s="2">
        <v>38317</v>
      </c>
      <c r="D14" s="2">
        <v>3221848</v>
      </c>
      <c r="E14" s="2">
        <v>84872</v>
      </c>
      <c r="F14" s="2">
        <v>35093797</v>
      </c>
      <c r="G14" s="2">
        <v>163895</v>
      </c>
      <c r="H14" s="2">
        <v>94018765</v>
      </c>
    </row>
    <row r="15" spans="1:8">
      <c r="A15" t="s">
        <v>172</v>
      </c>
      <c r="B15" t="s">
        <v>176</v>
      </c>
      <c r="C15" s="2">
        <v>1</v>
      </c>
      <c r="D15" s="2">
        <v>4</v>
      </c>
      <c r="E15" s="2">
        <v>1</v>
      </c>
      <c r="F15" s="2">
        <v>25</v>
      </c>
      <c r="G15" s="2">
        <v>1</v>
      </c>
      <c r="H15" s="2">
        <v>25</v>
      </c>
    </row>
    <row r="16" spans="1:8">
      <c r="A16" t="s">
        <v>172</v>
      </c>
      <c r="B16" t="s">
        <v>177</v>
      </c>
      <c r="C16" s="2">
        <v>3326</v>
      </c>
      <c r="D16" s="2">
        <v>28184</v>
      </c>
      <c r="E16" s="2">
        <v>9650</v>
      </c>
      <c r="F16" s="2">
        <v>261742</v>
      </c>
      <c r="G16" s="2">
        <v>20174</v>
      </c>
      <c r="H16" s="2">
        <v>798131</v>
      </c>
    </row>
    <row r="17" spans="1:8">
      <c r="A17" t="s">
        <v>172</v>
      </c>
      <c r="B17" t="s">
        <v>178</v>
      </c>
      <c r="C17" s="2">
        <v>37377</v>
      </c>
      <c r="D17" s="2">
        <v>997481</v>
      </c>
      <c r="E17" s="2">
        <v>84178</v>
      </c>
      <c r="F17" s="2">
        <v>9228483</v>
      </c>
      <c r="G17" s="2">
        <v>160695</v>
      </c>
      <c r="H17" s="2">
        <v>23979273</v>
      </c>
    </row>
    <row r="18" spans="1:8">
      <c r="A18" t="s">
        <v>172</v>
      </c>
      <c r="B18" t="s">
        <v>179</v>
      </c>
      <c r="C18" s="2">
        <v>15041</v>
      </c>
      <c r="D18" s="2">
        <v>157902</v>
      </c>
      <c r="E18" s="2">
        <v>41286</v>
      </c>
      <c r="F18" s="2">
        <v>2182519</v>
      </c>
      <c r="G18" s="2">
        <v>83742</v>
      </c>
      <c r="H18" s="2">
        <v>6703491</v>
      </c>
    </row>
    <row r="19" spans="1:8">
      <c r="A19" t="s">
        <v>172</v>
      </c>
      <c r="B19" t="s">
        <v>180</v>
      </c>
      <c r="C19" s="2">
        <v>3179</v>
      </c>
      <c r="D19" s="2">
        <v>381701</v>
      </c>
      <c r="E19" s="2">
        <v>8700</v>
      </c>
      <c r="F19" s="2">
        <v>3840782</v>
      </c>
      <c r="G19" s="2">
        <v>19800</v>
      </c>
      <c r="H19" s="2">
        <v>9071561</v>
      </c>
    </row>
    <row r="20" spans="1:8">
      <c r="A20" t="s">
        <v>172</v>
      </c>
      <c r="B20" t="s">
        <v>181</v>
      </c>
      <c r="C20" s="2">
        <v>8003</v>
      </c>
      <c r="D20" s="2">
        <v>129491</v>
      </c>
      <c r="E20" s="2">
        <v>21935</v>
      </c>
      <c r="F20" s="2">
        <v>2092371</v>
      </c>
      <c r="G20" s="2">
        <v>43866</v>
      </c>
      <c r="H20" s="2">
        <v>6191144</v>
      </c>
    </row>
    <row r="21" spans="1:8">
      <c r="A21" t="s">
        <v>172</v>
      </c>
      <c r="B21" t="s">
        <v>182</v>
      </c>
      <c r="C21" s="2">
        <v>229</v>
      </c>
      <c r="D21" s="2">
        <v>1922</v>
      </c>
      <c r="E21" s="2">
        <v>694</v>
      </c>
      <c r="F21" s="2">
        <v>50979</v>
      </c>
      <c r="G21" s="2">
        <v>838</v>
      </c>
      <c r="H21" s="2">
        <v>138216</v>
      </c>
    </row>
    <row r="22" spans="1:8">
      <c r="A22" t="s">
        <v>183</v>
      </c>
      <c r="B22" t="s">
        <v>184</v>
      </c>
      <c r="C22" s="2">
        <v>26244</v>
      </c>
      <c r="D22" s="2">
        <v>10229112</v>
      </c>
      <c r="E22" s="2">
        <v>54305</v>
      </c>
      <c r="F22" s="2">
        <v>125619739</v>
      </c>
      <c r="G22" s="2">
        <v>103985</v>
      </c>
      <c r="H22" s="2">
        <v>361323091</v>
      </c>
    </row>
    <row r="23" spans="1:8">
      <c r="A23" t="s">
        <v>183</v>
      </c>
      <c r="B23" t="s">
        <v>185</v>
      </c>
      <c r="C23" s="2">
        <v>8786</v>
      </c>
      <c r="D23" s="2">
        <v>1156774</v>
      </c>
      <c r="E23" s="2">
        <v>15044</v>
      </c>
      <c r="F23" s="2">
        <v>14413556</v>
      </c>
      <c r="G23" s="2">
        <v>26468</v>
      </c>
      <c r="H23" s="2">
        <v>37813471</v>
      </c>
    </row>
    <row r="24" spans="1:8">
      <c r="A24" t="s">
        <v>183</v>
      </c>
      <c r="B24" t="s">
        <v>186</v>
      </c>
      <c r="C24" s="2">
        <v>10695</v>
      </c>
      <c r="D24" s="2">
        <v>1768333</v>
      </c>
      <c r="E24" s="2">
        <v>24374</v>
      </c>
      <c r="F24" s="2">
        <v>22029294</v>
      </c>
      <c r="G24" s="2">
        <v>48416</v>
      </c>
      <c r="H24" s="2">
        <v>64715458</v>
      </c>
    </row>
    <row r="25" spans="1:8">
      <c r="A25" t="s">
        <v>187</v>
      </c>
      <c r="B25" t="s">
        <v>188</v>
      </c>
      <c r="C25" s="2">
        <v>35420</v>
      </c>
      <c r="D25" s="2">
        <v>169596</v>
      </c>
      <c r="E25" s="2">
        <v>106653</v>
      </c>
      <c r="F25" s="2">
        <v>2073451</v>
      </c>
      <c r="G25" s="2">
        <v>228960</v>
      </c>
      <c r="H25" s="2">
        <v>5867520</v>
      </c>
    </row>
    <row r="26" spans="1:8">
      <c r="A26" t="s">
        <v>187</v>
      </c>
      <c r="B26" t="s">
        <v>189</v>
      </c>
      <c r="C26" s="2">
        <v>16917</v>
      </c>
      <c r="D26" s="2">
        <v>62541</v>
      </c>
      <c r="E26" s="2">
        <v>48423</v>
      </c>
      <c r="F26" s="2">
        <v>797018</v>
      </c>
      <c r="G26" s="2">
        <v>105224</v>
      </c>
      <c r="H26" s="2">
        <v>2183881</v>
      </c>
    </row>
    <row r="27" spans="1:8">
      <c r="A27" t="s">
        <v>187</v>
      </c>
      <c r="B27" t="s">
        <v>190</v>
      </c>
      <c r="C27" s="2">
        <v>18878</v>
      </c>
      <c r="D27" s="2">
        <v>75300</v>
      </c>
      <c r="E27" s="2">
        <v>52840</v>
      </c>
      <c r="F27" s="2">
        <v>886386</v>
      </c>
      <c r="G27" s="2">
        <v>107844</v>
      </c>
      <c r="H27" s="2">
        <v>2991994</v>
      </c>
    </row>
    <row r="28" spans="1:8">
      <c r="A28" t="s">
        <v>187</v>
      </c>
      <c r="B28" t="s">
        <v>191</v>
      </c>
      <c r="C28" s="2">
        <v>32442</v>
      </c>
      <c r="D28" s="2">
        <v>377978</v>
      </c>
      <c r="E28" s="2">
        <v>60038</v>
      </c>
      <c r="F28" s="2">
        <v>4821905</v>
      </c>
      <c r="G28" s="2">
        <v>114462</v>
      </c>
      <c r="H28" s="2">
        <v>13372654</v>
      </c>
    </row>
    <row r="29" spans="1:8">
      <c r="A29" t="s">
        <v>187</v>
      </c>
      <c r="B29" t="s">
        <v>192</v>
      </c>
      <c r="C29" s="2">
        <v>8732</v>
      </c>
      <c r="D29" s="2">
        <v>53515</v>
      </c>
      <c r="E29" s="2">
        <v>22930</v>
      </c>
      <c r="F29" s="2">
        <v>669037</v>
      </c>
      <c r="G29" s="2">
        <v>52509</v>
      </c>
      <c r="H29" s="2">
        <v>2125539</v>
      </c>
    </row>
    <row r="30" spans="1:8">
      <c r="A30" t="s">
        <v>187</v>
      </c>
      <c r="B30" t="s">
        <v>193</v>
      </c>
      <c r="C30" s="2">
        <v>16300</v>
      </c>
      <c r="D30" s="2">
        <v>341449</v>
      </c>
      <c r="E30" s="2">
        <v>33473</v>
      </c>
      <c r="F30" s="2">
        <v>4366491</v>
      </c>
      <c r="G30" s="2">
        <v>72269</v>
      </c>
      <c r="H30" s="2">
        <v>13111623</v>
      </c>
    </row>
    <row r="31" spans="1:8">
      <c r="A31" t="s">
        <v>187</v>
      </c>
      <c r="B31" t="s">
        <v>194</v>
      </c>
      <c r="C31" s="2">
        <v>19255</v>
      </c>
      <c r="D31" s="2">
        <v>166182</v>
      </c>
      <c r="E31" s="2">
        <v>56788</v>
      </c>
      <c r="F31" s="2">
        <v>2016156</v>
      </c>
      <c r="G31" s="2">
        <v>119788</v>
      </c>
      <c r="H31" s="2">
        <v>6103226</v>
      </c>
    </row>
    <row r="32" spans="1:8">
      <c r="A32" t="s">
        <v>187</v>
      </c>
      <c r="B32" t="s">
        <v>195</v>
      </c>
      <c r="C32" s="2">
        <v>36328</v>
      </c>
      <c r="D32" s="2">
        <v>284433</v>
      </c>
      <c r="E32" s="2">
        <v>101076</v>
      </c>
      <c r="F32" s="2">
        <v>3730419</v>
      </c>
      <c r="G32" s="2">
        <v>234637</v>
      </c>
      <c r="H32" s="2">
        <v>10574498</v>
      </c>
    </row>
    <row r="33" spans="1:8">
      <c r="A33" t="s">
        <v>187</v>
      </c>
      <c r="B33" t="s">
        <v>196</v>
      </c>
      <c r="C33" s="2">
        <v>23968</v>
      </c>
      <c r="D33" s="2">
        <v>483385</v>
      </c>
      <c r="E33" s="2">
        <v>85406</v>
      </c>
      <c r="F33" s="2">
        <v>6485313</v>
      </c>
      <c r="G33" s="2">
        <v>206134</v>
      </c>
      <c r="H33" s="2">
        <v>19907936</v>
      </c>
    </row>
    <row r="34" spans="1:8">
      <c r="A34" t="s">
        <v>187</v>
      </c>
      <c r="B34" t="s">
        <v>197</v>
      </c>
      <c r="C34" s="2">
        <v>10590</v>
      </c>
      <c r="D34" s="2">
        <v>113047</v>
      </c>
      <c r="E34" s="2">
        <v>31467</v>
      </c>
      <c r="F34" s="2">
        <v>1278147</v>
      </c>
      <c r="G34" s="2">
        <v>80748</v>
      </c>
      <c r="H34" s="2">
        <v>4098858</v>
      </c>
    </row>
    <row r="35" spans="1:8">
      <c r="A35" t="s">
        <v>187</v>
      </c>
      <c r="B35" t="s">
        <v>198</v>
      </c>
      <c r="C35" s="2">
        <v>10999</v>
      </c>
      <c r="D35" s="2">
        <v>67543</v>
      </c>
      <c r="E35" s="2">
        <v>27878</v>
      </c>
      <c r="F35" s="2">
        <v>716083</v>
      </c>
      <c r="G35" s="2">
        <v>54749</v>
      </c>
      <c r="H35" s="2">
        <v>1973440</v>
      </c>
    </row>
    <row r="36" spans="1:8">
      <c r="A36" t="s">
        <v>187</v>
      </c>
      <c r="B36" t="s">
        <v>199</v>
      </c>
      <c r="C36" s="2">
        <v>38695</v>
      </c>
      <c r="D36" s="2">
        <v>606269</v>
      </c>
      <c r="E36" s="2">
        <v>92265</v>
      </c>
      <c r="F36" s="2">
        <v>7512443</v>
      </c>
      <c r="G36" s="2">
        <v>191457</v>
      </c>
      <c r="H36" s="2">
        <v>21678767</v>
      </c>
    </row>
    <row r="37" spans="1:8">
      <c r="A37" t="s">
        <v>200</v>
      </c>
      <c r="B37" t="s">
        <v>201</v>
      </c>
      <c r="C37" s="2">
        <v>3952</v>
      </c>
      <c r="D37" s="2">
        <v>106930</v>
      </c>
      <c r="E37" s="2">
        <v>10180</v>
      </c>
      <c r="F37" s="2">
        <v>1350648</v>
      </c>
      <c r="G37" s="2">
        <v>23874</v>
      </c>
      <c r="H37" s="2">
        <v>4264601</v>
      </c>
    </row>
    <row r="38" spans="1:8">
      <c r="A38" t="s">
        <v>200</v>
      </c>
      <c r="B38" t="s">
        <v>202</v>
      </c>
      <c r="C38" s="2">
        <v>14933</v>
      </c>
      <c r="D38" s="2">
        <v>880617</v>
      </c>
      <c r="E38" s="2">
        <v>24491</v>
      </c>
      <c r="F38" s="2">
        <v>10707116</v>
      </c>
      <c r="G38" s="2">
        <v>38801</v>
      </c>
      <c r="H38" s="2">
        <v>30306795</v>
      </c>
    </row>
    <row r="39" spans="1:8">
      <c r="A39" t="s">
        <v>200</v>
      </c>
      <c r="B39" t="s">
        <v>203</v>
      </c>
      <c r="C39" s="2">
        <v>32325</v>
      </c>
      <c r="D39" s="2">
        <v>1614368</v>
      </c>
      <c r="E39" s="2">
        <v>54219</v>
      </c>
      <c r="F39" s="2">
        <v>18659128</v>
      </c>
      <c r="G39" s="2">
        <v>86382</v>
      </c>
      <c r="H39" s="2">
        <v>48604438</v>
      </c>
    </row>
    <row r="40" spans="1:8">
      <c r="A40" t="s">
        <v>200</v>
      </c>
      <c r="B40" t="s">
        <v>204</v>
      </c>
      <c r="C40" s="2">
        <v>8121</v>
      </c>
      <c r="D40" s="2">
        <v>1332531</v>
      </c>
      <c r="E40" s="2">
        <v>15965</v>
      </c>
      <c r="F40" s="2">
        <v>16423485</v>
      </c>
      <c r="G40" s="2">
        <v>28280</v>
      </c>
      <c r="H40" s="2">
        <v>46893884</v>
      </c>
    </row>
    <row r="41" spans="1:8">
      <c r="A41" t="s">
        <v>200</v>
      </c>
      <c r="B41" t="s">
        <v>205</v>
      </c>
      <c r="C41" s="2">
        <v>521</v>
      </c>
      <c r="D41" s="2">
        <v>28635</v>
      </c>
      <c r="E41" s="2">
        <v>1227</v>
      </c>
      <c r="F41" s="2">
        <v>297134</v>
      </c>
      <c r="G41" s="2">
        <v>3163</v>
      </c>
      <c r="H41" s="2">
        <v>808489</v>
      </c>
    </row>
    <row r="42" spans="1:8">
      <c r="A42" t="s">
        <v>20</v>
      </c>
      <c r="B42" t="s">
        <v>206</v>
      </c>
      <c r="C42" s="2">
        <v>28049</v>
      </c>
      <c r="D42" s="2">
        <v>25945858</v>
      </c>
      <c r="E42" s="2">
        <v>56134</v>
      </c>
      <c r="F42" s="2">
        <v>311378310</v>
      </c>
      <c r="G42" s="2">
        <v>102195</v>
      </c>
      <c r="H42" s="2">
        <v>903254668</v>
      </c>
    </row>
    <row r="43" spans="1:8">
      <c r="A43" t="s">
        <v>20</v>
      </c>
      <c r="B43" t="s">
        <v>21</v>
      </c>
      <c r="C43" s="2">
        <v>27429</v>
      </c>
      <c r="D43" s="2">
        <v>33719924</v>
      </c>
      <c r="E43" s="2">
        <v>58192</v>
      </c>
      <c r="F43" s="2">
        <v>408896537</v>
      </c>
      <c r="G43" s="2">
        <v>112214</v>
      </c>
      <c r="H43" s="2">
        <v>1203060854</v>
      </c>
    </row>
    <row r="44" spans="1:8">
      <c r="A44" t="s">
        <v>20</v>
      </c>
      <c r="B44" t="s">
        <v>207</v>
      </c>
      <c r="C44" s="2">
        <v>10676</v>
      </c>
      <c r="D44" s="2">
        <v>4520334</v>
      </c>
      <c r="E44" s="2">
        <v>21257</v>
      </c>
      <c r="F44" s="2">
        <v>55531723</v>
      </c>
      <c r="G44" s="2">
        <v>32956</v>
      </c>
      <c r="H44" s="2">
        <v>162164350</v>
      </c>
    </row>
    <row r="45" spans="1:8">
      <c r="A45" t="s">
        <v>20</v>
      </c>
      <c r="B45" t="s">
        <v>208</v>
      </c>
      <c r="C45" s="2">
        <v>26879</v>
      </c>
      <c r="D45" s="2">
        <v>18504666</v>
      </c>
      <c r="E45" s="2">
        <v>55806</v>
      </c>
      <c r="F45" s="2">
        <v>215371512</v>
      </c>
      <c r="G45" s="2">
        <v>109328</v>
      </c>
      <c r="H45" s="2">
        <v>604912102</v>
      </c>
    </row>
    <row r="46" spans="1:8">
      <c r="A46" t="s">
        <v>209</v>
      </c>
      <c r="B46" t="s">
        <v>210</v>
      </c>
      <c r="C46" s="2">
        <v>5504</v>
      </c>
      <c r="D46" s="2">
        <v>3486874</v>
      </c>
      <c r="E46" s="2">
        <v>11842</v>
      </c>
      <c r="F46" s="2">
        <v>40256726</v>
      </c>
      <c r="G46" s="2">
        <v>23584</v>
      </c>
      <c r="H46" s="2">
        <v>110293078</v>
      </c>
    </row>
    <row r="47" spans="1:8">
      <c r="A47" t="s">
        <v>209</v>
      </c>
      <c r="B47" t="s">
        <v>211</v>
      </c>
      <c r="C47" s="2">
        <v>9465</v>
      </c>
      <c r="D47" s="2">
        <v>6706740</v>
      </c>
      <c r="E47" s="2">
        <v>15016</v>
      </c>
      <c r="F47" s="2">
        <v>81172752</v>
      </c>
      <c r="G47" s="2">
        <v>22008</v>
      </c>
      <c r="H47" s="2">
        <v>238765338</v>
      </c>
    </row>
    <row r="48" spans="1:8">
      <c r="A48" t="s">
        <v>209</v>
      </c>
      <c r="B48" t="s">
        <v>212</v>
      </c>
      <c r="C48" s="2">
        <v>13515</v>
      </c>
      <c r="D48" s="2">
        <v>10445403</v>
      </c>
      <c r="E48" s="2">
        <v>33976</v>
      </c>
      <c r="F48" s="2">
        <v>124899960</v>
      </c>
      <c r="G48" s="2">
        <v>51699</v>
      </c>
      <c r="H48" s="2">
        <v>371968730</v>
      </c>
    </row>
    <row r="49" spans="1:8">
      <c r="A49" t="s">
        <v>209</v>
      </c>
      <c r="B49" t="s">
        <v>213</v>
      </c>
      <c r="C49" s="2">
        <v>9804</v>
      </c>
      <c r="D49" s="2">
        <v>3058147</v>
      </c>
      <c r="E49" s="2">
        <v>18698</v>
      </c>
      <c r="F49" s="2">
        <v>36568711</v>
      </c>
      <c r="G49" s="2">
        <v>31885</v>
      </c>
      <c r="H49" s="2">
        <v>107844557</v>
      </c>
    </row>
    <row r="50" spans="1:8">
      <c r="A50" t="s">
        <v>214</v>
      </c>
      <c r="B50" t="s">
        <v>215</v>
      </c>
      <c r="C50" s="2">
        <v>0</v>
      </c>
      <c r="D50" s="2">
        <v>0</v>
      </c>
      <c r="E50" s="2">
        <v>1</v>
      </c>
      <c r="F50" s="2">
        <v>1</v>
      </c>
      <c r="G50" s="2">
        <v>3</v>
      </c>
      <c r="H50" s="2">
        <v>7</v>
      </c>
    </row>
    <row r="51" spans="1:8">
      <c r="A51" t="s">
        <v>214</v>
      </c>
      <c r="B51" t="s">
        <v>216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1</v>
      </c>
    </row>
    <row r="52" spans="1:8">
      <c r="A52" t="s">
        <v>214</v>
      </c>
      <c r="B52" t="s">
        <v>217</v>
      </c>
      <c r="C52" s="2">
        <v>52</v>
      </c>
      <c r="D52" s="2">
        <v>75</v>
      </c>
      <c r="E52" s="2">
        <v>399</v>
      </c>
      <c r="F52" s="2">
        <v>1794</v>
      </c>
      <c r="G52" s="2">
        <v>1665</v>
      </c>
      <c r="H52" s="2">
        <v>12127</v>
      </c>
    </row>
    <row r="53" spans="1:8">
      <c r="A53" t="s">
        <v>214</v>
      </c>
      <c r="B53" t="s">
        <v>218</v>
      </c>
      <c r="C53" s="2">
        <v>59</v>
      </c>
      <c r="D53" s="2">
        <v>3893</v>
      </c>
      <c r="E53" s="2">
        <v>79</v>
      </c>
      <c r="F53" s="2">
        <v>46940</v>
      </c>
      <c r="G53" s="2">
        <v>86</v>
      </c>
      <c r="H53" s="2">
        <v>135232</v>
      </c>
    </row>
    <row r="54" spans="1:8">
      <c r="A54" t="s">
        <v>214</v>
      </c>
      <c r="B54" t="s">
        <v>219</v>
      </c>
      <c r="C54" s="2">
        <v>167</v>
      </c>
      <c r="D54" s="2">
        <v>28497</v>
      </c>
      <c r="E54" s="2">
        <v>717</v>
      </c>
      <c r="F54" s="2">
        <v>389486</v>
      </c>
      <c r="G54" s="2">
        <v>1311</v>
      </c>
      <c r="H54" s="2">
        <v>2020545</v>
      </c>
    </row>
    <row r="55" spans="1:8">
      <c r="A55" t="s">
        <v>214</v>
      </c>
      <c r="B55" t="s">
        <v>220</v>
      </c>
      <c r="C55" s="2">
        <v>11</v>
      </c>
      <c r="D55" s="2">
        <v>245</v>
      </c>
      <c r="E55" s="2">
        <v>27</v>
      </c>
      <c r="F55" s="2">
        <v>4724</v>
      </c>
      <c r="G55" s="2">
        <v>38</v>
      </c>
      <c r="H55" s="2">
        <v>15345</v>
      </c>
    </row>
    <row r="56" spans="1:8">
      <c r="A56" t="s">
        <v>214</v>
      </c>
      <c r="B56" t="s">
        <v>221</v>
      </c>
      <c r="C56" s="2">
        <v>2</v>
      </c>
      <c r="D56" s="2">
        <v>471</v>
      </c>
      <c r="E56" s="2">
        <v>10</v>
      </c>
      <c r="F56" s="2">
        <v>5816</v>
      </c>
      <c r="G56" s="2">
        <v>25</v>
      </c>
      <c r="H56" s="2">
        <v>10480</v>
      </c>
    </row>
    <row r="57" spans="1:8">
      <c r="A57" t="s">
        <v>214</v>
      </c>
      <c r="B57" t="s">
        <v>222</v>
      </c>
      <c r="C57" s="2">
        <v>13</v>
      </c>
      <c r="D57" s="2">
        <v>56</v>
      </c>
      <c r="E57" s="2">
        <v>41</v>
      </c>
      <c r="F57" s="2">
        <v>642</v>
      </c>
      <c r="G57" s="2">
        <v>63</v>
      </c>
      <c r="H57" s="2">
        <v>2209</v>
      </c>
    </row>
    <row r="58" spans="1:8">
      <c r="A58" t="s">
        <v>214</v>
      </c>
      <c r="B58" t="s">
        <v>223</v>
      </c>
      <c r="C58" s="2">
        <v>0</v>
      </c>
      <c r="D58" s="2">
        <v>0</v>
      </c>
      <c r="E58" s="2">
        <v>1</v>
      </c>
      <c r="F58" s="2">
        <v>38</v>
      </c>
      <c r="G58" s="2">
        <v>33</v>
      </c>
      <c r="H58" s="2">
        <v>3575</v>
      </c>
    </row>
    <row r="59" spans="1:8">
      <c r="A59" t="s">
        <v>214</v>
      </c>
      <c r="B59" t="s">
        <v>224</v>
      </c>
      <c r="C59" s="2">
        <v>5</v>
      </c>
      <c r="D59" s="2">
        <v>449</v>
      </c>
      <c r="E59" s="2">
        <v>16</v>
      </c>
      <c r="F59" s="2">
        <v>5778</v>
      </c>
      <c r="G59" s="2">
        <v>32</v>
      </c>
      <c r="H59" s="2">
        <v>7221</v>
      </c>
    </row>
    <row r="60" spans="1:8">
      <c r="A60" t="s">
        <v>214</v>
      </c>
      <c r="B60" t="s">
        <v>225</v>
      </c>
      <c r="C60" s="2">
        <v>36</v>
      </c>
      <c r="D60" s="2">
        <v>113</v>
      </c>
      <c r="E60" s="2">
        <v>83</v>
      </c>
      <c r="F60" s="2">
        <v>1885</v>
      </c>
      <c r="G60" s="2">
        <v>136</v>
      </c>
      <c r="H60" s="2">
        <v>5943</v>
      </c>
    </row>
    <row r="61" spans="1:8">
      <c r="A61" t="s">
        <v>226</v>
      </c>
      <c r="B61" t="s">
        <v>227</v>
      </c>
      <c r="C61" s="2">
        <v>2937</v>
      </c>
      <c r="D61" s="2">
        <v>4106342</v>
      </c>
      <c r="E61" s="2">
        <v>5517</v>
      </c>
      <c r="F61" s="2">
        <v>48368798</v>
      </c>
      <c r="G61" s="2">
        <v>7318</v>
      </c>
      <c r="H61" s="2">
        <v>136911309</v>
      </c>
    </row>
    <row r="62" spans="1:8">
      <c r="A62" t="s">
        <v>226</v>
      </c>
      <c r="B62" t="s">
        <v>228</v>
      </c>
      <c r="C62" s="2">
        <v>426</v>
      </c>
      <c r="D62" s="2">
        <v>189878</v>
      </c>
      <c r="E62" s="2">
        <v>577</v>
      </c>
      <c r="F62" s="2">
        <v>2039158</v>
      </c>
      <c r="G62" s="2">
        <v>642</v>
      </c>
      <c r="H62" s="2">
        <v>5481688</v>
      </c>
    </row>
    <row r="63" spans="1:8">
      <c r="A63" t="s">
        <v>226</v>
      </c>
      <c r="B63" t="s">
        <v>229</v>
      </c>
      <c r="C63" s="2">
        <v>384</v>
      </c>
      <c r="D63" s="2">
        <v>358648</v>
      </c>
      <c r="E63" s="2">
        <v>552</v>
      </c>
      <c r="F63" s="2">
        <v>4362757</v>
      </c>
      <c r="G63" s="2">
        <v>694</v>
      </c>
      <c r="H63" s="2">
        <v>13307179</v>
      </c>
    </row>
    <row r="64" spans="1:8">
      <c r="A64" t="s">
        <v>235</v>
      </c>
      <c r="B64" t="s">
        <v>235</v>
      </c>
      <c r="C64" s="2">
        <v>459</v>
      </c>
      <c r="D64" s="2">
        <v>1107581</v>
      </c>
      <c r="E64" s="2">
        <v>798</v>
      </c>
      <c r="F64" s="2">
        <v>13597750</v>
      </c>
      <c r="G64" s="2">
        <v>1035</v>
      </c>
      <c r="H64" s="2">
        <v>38788043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C68C0CFEF1FAB479F7296083E59A8FB" ma:contentTypeVersion="10" ma:contentTypeDescription="新しいドキュメントを作成します。" ma:contentTypeScope="" ma:versionID="7bbc919f4289e1a21dbd4652ba7cf38e">
  <xsd:schema xmlns:xsd="http://www.w3.org/2001/XMLSchema" xmlns:xs="http://www.w3.org/2001/XMLSchema" xmlns:p="http://schemas.microsoft.com/office/2006/metadata/properties" xmlns:ns2="71088b56-a800-4640-9704-fbff1ab0718e" targetNamespace="http://schemas.microsoft.com/office/2006/metadata/properties" ma:root="true" ma:fieldsID="44268f7fc6f3e29758fd0044721f867e" ns2:_="">
    <xsd:import namespace="71088b56-a800-4640-9704-fbff1ab0718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88b56-a800-4640-9704-fbff1ab0718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a187af14-d6b7-4acd-b879-4c57fe18ae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088b56-a800-4640-9704-fbff1ab071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935017-E86E-45CE-8C19-8C57A4851FAB}"/>
</file>

<file path=customXml/itemProps2.xml><?xml version="1.0" encoding="utf-8"?>
<ds:datastoreItem xmlns:ds="http://schemas.openxmlformats.org/officeDocument/2006/customXml" ds:itemID="{B5F05BA0-A447-4084-AF20-477D21E37D5D}"/>
</file>

<file path=customXml/itemProps3.xml><?xml version="1.0" encoding="utf-8"?>
<ds:datastoreItem xmlns:ds="http://schemas.openxmlformats.org/officeDocument/2006/customXml" ds:itemID="{AD90B5D0-AB59-49F3-A378-7CE7D8B31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ドン・キホーテグループ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ユーザー</dc:creator>
  <cp:keywords/>
  <dc:description/>
  <cp:lastModifiedBy>Marina Abe</cp:lastModifiedBy>
  <cp:revision/>
  <dcterms:created xsi:type="dcterms:W3CDTF">2026-07-06T06:57:04Z</dcterms:created>
  <dcterms:modified xsi:type="dcterms:W3CDTF">2026-07-07T08:16:32Z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0x0101007C68C0CFEF1FAB479F7296083E59A8FB</vt:lpwstr>
  </property>
  <property fmtid="{D5CDD505-2E9C-101B-9397-08002B2CF9AE}" pid="3" name="MediaServiceImageTags">
    <vt:lpwstr/>
  </property>
</Properties>
</file>